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현재_통합_문서" defaultThemeVersion="202300"/>
  <mc:AlternateContent xmlns:mc="http://schemas.openxmlformats.org/markup-compatibility/2006">
    <mc:Choice Requires="x15">
      <x15ac:absPath xmlns:x15ac="http://schemas.microsoft.com/office/spreadsheetml/2010/11/ac" url="C:\Users\User\AppData\Local\Temp\claude\C--Users-User-OneDrive-----------AAS----\27fdd948-7287-4c4c-8c9b-f6b19f8024b1\scratchpad\smd_rev\ck_out3\"/>
    </mc:Choice>
  </mc:AlternateContent>
  <xr:revisionPtr revIDLastSave="0" documentId="13_ncr:1_{E333D48E-22C7-4E0C-AE4E-DF1262553667}" xr6:coauthVersionLast="47" xr6:coauthVersionMax="47" xr10:uidLastSave="{00000000-0000-0000-0000-000000000000}"/>
  <bookViews>
    <workbookView xWindow="-120" yWindow="-120" windowWidth="29040" windowHeight="15720" xr2:uid="{5D672DD9-5B8D-4463-AED7-35C87E05FECA}"/>
  </bookViews>
  <sheets>
    <sheet name="AAS Model Checklist" sheetId="2" r:id="rId1"/>
    <sheet name="AAS Model Checklist Resul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7" i="3"/>
  <c r="G6" i="3"/>
  <c r="G3" i="3"/>
  <c r="G4" i="3" s="1"/>
  <c r="G5" i="3" l="1"/>
  <c r="G10" i="3"/>
  <c r="H4" i="3" l="1"/>
  <c r="H3" i="3"/>
  <c r="H8" i="3"/>
  <c r="H9" i="3"/>
  <c r="H6" i="3"/>
  <c r="H7" i="3"/>
  <c r="H5" i="3" l="1"/>
  <c r="H10" i="3"/>
</calcChain>
</file>

<file path=xl/sharedStrings.xml><?xml version="1.0" encoding="utf-8"?>
<sst xmlns="http://schemas.openxmlformats.org/spreadsheetml/2006/main" count="125" uniqueCount="98">
  <si>
    <t>설명</t>
    <phoneticPr fontId="2" type="noConversion"/>
  </si>
  <si>
    <t>비고</t>
    <phoneticPr fontId="2" type="noConversion"/>
  </si>
  <si>
    <t>분류(대상)</t>
    <phoneticPr fontId="2" type="noConversion"/>
  </si>
  <si>
    <t>번호</t>
    <phoneticPr fontId="2" type="noConversion"/>
  </si>
  <si>
    <t>중요도</t>
    <phoneticPr fontId="2" type="noConversion"/>
  </si>
  <si>
    <t>체크사항</t>
    <phoneticPr fontId="2" type="noConversion"/>
  </si>
  <si>
    <t>체크</t>
    <phoneticPr fontId="2" type="noConversion"/>
  </si>
  <si>
    <t>기본사항</t>
    <phoneticPr fontId="2" type="noConversion"/>
  </si>
  <si>
    <t>필수</t>
    <phoneticPr fontId="2" type="noConversion"/>
  </si>
  <si>
    <t>Thumnail</t>
    <phoneticPr fontId="2" type="noConversion"/>
  </si>
  <si>
    <t>idShort 설정여부</t>
    <phoneticPr fontId="2" type="noConversion"/>
  </si>
  <si>
    <t>idShort가 설정되어 있는지 확인한다.</t>
    <phoneticPr fontId="2" type="noConversion"/>
  </si>
  <si>
    <t>Id</t>
    <phoneticPr fontId="2" type="noConversion"/>
  </si>
  <si>
    <t>옵션</t>
    <phoneticPr fontId="2" type="noConversion"/>
  </si>
  <si>
    <t>Submodel 구성</t>
    <phoneticPr fontId="2" type="noConversion"/>
  </si>
  <si>
    <t>globalAssetId 여부</t>
    <phoneticPr fontId="2" type="noConversion"/>
  </si>
  <si>
    <t>globalAssetId가 설정되어 있는지 확인한다.</t>
    <phoneticPr fontId="2" type="noConversion"/>
  </si>
  <si>
    <t>Type종류</t>
    <phoneticPr fontId="2" type="noConversion"/>
  </si>
  <si>
    <t>Submodel</t>
    <phoneticPr fontId="2" type="noConversion"/>
  </si>
  <si>
    <t>Semantic ID</t>
    <phoneticPr fontId="2" type="noConversion"/>
  </si>
  <si>
    <t>kind</t>
    <phoneticPr fontId="2" type="noConversion"/>
  </si>
  <si>
    <t>value 값 여부</t>
    <phoneticPr fontId="2" type="noConversion"/>
  </si>
  <si>
    <t>ConceptDescription</t>
    <phoneticPr fontId="2" type="noConversion"/>
  </si>
  <si>
    <t>-</t>
    <phoneticPr fontId="2" type="noConversion"/>
  </si>
  <si>
    <t>분류</t>
    <phoneticPr fontId="2" type="noConversion"/>
  </si>
  <si>
    <t>기준항목</t>
    <phoneticPr fontId="2" type="noConversion"/>
  </si>
  <si>
    <t>세부항목</t>
    <phoneticPr fontId="2" type="noConversion"/>
  </si>
  <si>
    <t>개수</t>
    <phoneticPr fontId="2" type="noConversion"/>
  </si>
  <si>
    <t>%</t>
    <phoneticPr fontId="2" type="noConversion"/>
  </si>
  <si>
    <t>단순통계</t>
    <phoneticPr fontId="2" type="noConversion"/>
  </si>
  <si>
    <t>합계</t>
    <phoneticPr fontId="2" type="noConversion"/>
  </si>
  <si>
    <t>'중요도'기준 통계</t>
    <phoneticPr fontId="2" type="noConversion"/>
  </si>
  <si>
    <t>AAS Model Checklist Result</t>
    <phoneticPr fontId="2" type="noConversion"/>
  </si>
  <si>
    <t></t>
    <phoneticPr fontId="2" type="noConversion"/>
  </si>
  <si>
    <t></t>
    <phoneticPr fontId="2" type="noConversion"/>
  </si>
  <si>
    <r>
      <t xml:space="preserve">"필수" 中 </t>
    </r>
    <r>
      <rPr>
        <sz val="10"/>
        <color theme="1"/>
        <rFont val="Wingdings"/>
        <family val="2"/>
        <charset val="2"/>
      </rPr>
      <t></t>
    </r>
    <phoneticPr fontId="2" type="noConversion"/>
  </si>
  <si>
    <r>
      <t xml:space="preserve">"필수" 中 </t>
    </r>
    <r>
      <rPr>
        <sz val="10"/>
        <color theme="1"/>
        <rFont val="Wingdings"/>
        <family val="2"/>
        <charset val="2"/>
      </rPr>
      <t></t>
    </r>
    <phoneticPr fontId="2" type="noConversion"/>
  </si>
  <si>
    <r>
      <t xml:space="preserve">"옵션" 中 </t>
    </r>
    <r>
      <rPr>
        <sz val="10"/>
        <color theme="1"/>
        <rFont val="Wingdings"/>
        <family val="2"/>
        <charset val="2"/>
      </rPr>
      <t></t>
    </r>
    <phoneticPr fontId="2" type="noConversion"/>
  </si>
  <si>
    <r>
      <t xml:space="preserve">"옵션" 中 </t>
    </r>
    <r>
      <rPr>
        <sz val="10"/>
        <color theme="1"/>
        <rFont val="Wingdings"/>
        <family val="2"/>
        <charset val="2"/>
      </rPr>
      <t></t>
    </r>
    <phoneticPr fontId="2" type="noConversion"/>
  </si>
  <si>
    <t>definition 여부</t>
    <phoneticPr fontId="2" type="noConversion"/>
  </si>
  <si>
    <r>
      <t xml:space="preserve">Semantic ID가 작성되어 있는지 확인한다. 
</t>
    </r>
    <r>
      <rPr>
        <sz val="10"/>
        <color theme="1"/>
        <rFont val="맑은 고딕"/>
        <family val="3"/>
        <charset val="129"/>
      </rPr>
      <t>표준 서브모델이 아닌 경우, 적절한 형식의 IRI 식별자인지 확인한다.</t>
    </r>
    <phoneticPr fontId="2" type="noConversion"/>
  </si>
  <si>
    <t>idShort 명명규칙</t>
    <phoneticPr fontId="2" type="noConversion"/>
  </si>
  <si>
    <t>'kind'가 'Type'으로 지정되어 있는지 확인한다.</t>
    <phoneticPr fontId="2" type="noConversion"/>
  </si>
  <si>
    <t>'kind'가 'Template'으로 지정되어 있는지 확인한다</t>
    <phoneticPr fontId="2" type="noConversion"/>
  </si>
  <si>
    <t>비고 (검토의견)</t>
    <phoneticPr fontId="2" type="noConversion"/>
  </si>
  <si>
    <t>AAS</t>
    <phoneticPr fontId="2" type="noConversion"/>
  </si>
  <si>
    <t>※ "AAS Model Checklist" sheet에서 각 체크사항에 대해 충족/불충족 항목들에 대한 개수를 정리한 시트입니다.</t>
    <phoneticPr fontId="2" type="noConversion"/>
  </si>
  <si>
    <t>체크사항 불충족 항목</t>
    <phoneticPr fontId="2" type="noConversion"/>
  </si>
  <si>
    <t>체크사항 충족 항목</t>
    <phoneticPr fontId="2" type="noConversion"/>
  </si>
  <si>
    <t>필수 체크사항 충족 항목</t>
    <phoneticPr fontId="2" type="noConversion"/>
  </si>
  <si>
    <t>필수 체크사항 불충족 항목</t>
    <phoneticPr fontId="2" type="noConversion"/>
  </si>
  <si>
    <t>옵션 체크사항 충족 항목</t>
    <phoneticPr fontId="2" type="noConversion"/>
  </si>
  <si>
    <t>옵션 체크사항 불충족 항목</t>
    <phoneticPr fontId="2" type="noConversion"/>
  </si>
  <si>
    <t>총 체크사항</t>
    <phoneticPr fontId="2" type="noConversion"/>
  </si>
  <si>
    <t>\</t>
    <phoneticPr fontId="2" type="noConversion"/>
  </si>
  <si>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phoneticPr fontId="2" type="noConversion"/>
  </si>
  <si>
    <t>valueType이 설정되어야 하며, 
연결된 Concept Description의 dataType과 매칭되는 데이터 타입으로 설정되어야 한다</t>
    <phoneticPr fontId="2" type="noConversion"/>
  </si>
  <si>
    <t>dataType 설정여부</t>
    <phoneticPr fontId="2" type="noConversion"/>
  </si>
  <si>
    <t>공통</t>
    <phoneticPr fontId="2" type="noConversion"/>
  </si>
  <si>
    <t>최신 Version 여부</t>
    <phoneticPr fontId="2" type="noConversion"/>
  </si>
  <si>
    <t>IDTA 서브모델 템플릿을 활용하는 경우, 최신 버전의 템플릿을 사용하고 있는지 확인한다.</t>
    <phoneticPr fontId="2" type="noConversion"/>
  </si>
  <si>
    <t>계층 세분화</t>
    <phoneticPr fontId="2" type="noConversion"/>
  </si>
  <si>
    <t>Concept Description 매핑여부</t>
    <phoneticPr fontId="2" type="noConversion"/>
  </si>
  <si>
    <t>Concept Description과 
data type 매칭여부</t>
    <phoneticPr fontId="2" type="noConversion"/>
  </si>
  <si>
    <t>특수 SME 배제 여부</t>
    <phoneticPr fontId="2" type="noConversion"/>
  </si>
  <si>
    <t xml:space="preserve">SME
(Submodel Element) </t>
    <phoneticPr fontId="2" type="noConversion"/>
  </si>
  <si>
    <t>SME 중
Property</t>
    <phoneticPr fontId="2" type="noConversion"/>
  </si>
  <si>
    <t xml:space="preserve">Submodel Elements가 Concept Description과 올바르게 매핑되어 있는지 확인한다 </t>
    <phoneticPr fontId="2" type="noConversion"/>
  </si>
  <si>
    <t>AASX 파일에 Thumbnail 이미지가 포함되어 있으며, AssetInformation의 defaultThumbnail에 동일한 경로가 설정되어 있는지 확인한다.</t>
    <phoneticPr fontId="2" type="noConversion"/>
  </si>
  <si>
    <r>
      <t>AAS 모델링에서 필수적인 성격을 지닌 아래의 4가지 Submodel이 포함되어 있으며</t>
    </r>
    <r>
      <rPr>
        <b/>
        <sz val="10"/>
        <color theme="1"/>
        <rFont val="맑은 고딕"/>
        <family val="3"/>
        <charset val="129"/>
        <scheme val="minor"/>
      </rPr>
      <t xml:space="preserve"> 총 6종 이상 8종 이하의 Submodel로 구성되어 있는지 확인한다.</t>
    </r>
    <r>
      <rPr>
        <sz val="10"/>
        <color theme="1"/>
        <rFont val="맑은 고딕"/>
        <family val="3"/>
        <charset val="129"/>
        <scheme val="minor"/>
      </rPr>
      <t xml:space="preserve">
① </t>
    </r>
    <r>
      <rPr>
        <b/>
        <sz val="10"/>
        <color theme="1"/>
        <rFont val="맑은 고딕"/>
        <family val="3"/>
        <charset val="129"/>
        <scheme val="minor"/>
      </rPr>
      <t>Digital Nameplate</t>
    </r>
    <r>
      <rPr>
        <sz val="10"/>
        <color theme="1"/>
        <rFont val="맑은 고딕"/>
        <family val="3"/>
        <charset val="129"/>
        <scheme val="minor"/>
      </rPr>
      <t xml:space="preserve">, ② </t>
    </r>
    <r>
      <rPr>
        <b/>
        <sz val="10"/>
        <color theme="1"/>
        <rFont val="맑은 고딕"/>
        <family val="3"/>
        <charset val="129"/>
      </rPr>
      <t>Handover Documentation,</t>
    </r>
    <r>
      <rPr>
        <sz val="10"/>
        <color theme="1"/>
        <rFont val="맑은 고딕"/>
        <family val="3"/>
        <charset val="129"/>
        <scheme val="minor"/>
      </rPr>
      <t xml:space="preserve">
③ Technical Data, ④ </t>
    </r>
    <r>
      <rPr>
        <sz val="10"/>
        <color theme="1"/>
        <rFont val="맑은 고딕"/>
        <family val="3"/>
        <charset val="129"/>
      </rPr>
      <t>Operational Data</t>
    </r>
    <phoneticPr fontId="2" type="noConversion"/>
  </si>
  <si>
    <t>해당 항목에 대한 definition이 작성되어 있는지 확인한다.
* description이 작성되어 있는 경우도 포함</t>
    <phoneticPr fontId="2" type="noConversion"/>
  </si>
  <si>
    <t>각 항목의 Id 양식을 확인하고, IRDI 형식인지 IRI 형식인지 구분한다.
* IRDI인 경우, 해당 항목이 CDD/Ecl@ss에 존재하여야 한다.
* IRI인 경우, 정해진 양식을 준수하고 있는지 확인한다.</t>
    <phoneticPr fontId="2" type="noConversion"/>
  </si>
  <si>
    <r>
      <t>idShort가 정의된 양식을 준수하고 있는지 확인한다.
※ 예외사항</t>
    </r>
    <r>
      <rPr>
        <b/>
        <strike/>
        <sz val="10"/>
        <color theme="1"/>
        <rFont val="맑은 고딕"/>
        <family val="3"/>
        <charset val="129"/>
        <scheme val="minor"/>
      </rPr>
      <t xml:space="preserve">
</t>
    </r>
    <r>
      <rPr>
        <b/>
        <sz val="10"/>
        <color rgb="FFFF0000"/>
        <rFont val="맑은 고딕"/>
        <family val="3"/>
        <charset val="129"/>
      </rPr>
      <t>Submodel Element List의 하위에 속하는 Submodel Element는 idShort를 작성하지 않아도 되며, 작성하는 경우 명명규칙을 준수하여야 함</t>
    </r>
    <phoneticPr fontId="2" type="noConversion"/>
  </si>
  <si>
    <r>
      <t xml:space="preserve">각 항목의 Id 양식을 확인하고, IRDI 형식인지 IRI 형식인지 구분한다.
IRI인 경우, 정해진 양식을 준수하고 있는지 확인한다.
</t>
    </r>
    <r>
      <rPr>
        <b/>
        <sz val="10"/>
        <color rgb="FFFF0000"/>
        <rFont val="맑은 고딕"/>
        <family val="3"/>
        <charset val="129"/>
      </rPr>
      <t>* administration에 버전 정보를 입력하고 ID 뒷부분 '/version' 과 일치 시킬것</t>
    </r>
    <phoneticPr fontId="2" type="noConversion"/>
  </si>
  <si>
    <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b/>
        <sz val="10"/>
        <color rgb="FFFF0000"/>
        <rFont val="맑은 고딕"/>
        <family val="3"/>
        <charset val="129"/>
      </rPr>
      <t>* 각 계층과 컬렉션은 명확한 분류 목적을 가져야 하며, 별도의 모델링 근거 없이 단순히 하위 요소만을 포함하는 중간 SMC는 계층 세분화 요건을 충족하지 않은 것으로 판단함.</t>
    </r>
    <phoneticPr fontId="2" type="noConversion"/>
  </si>
  <si>
    <r>
      <t xml:space="preserve">AAS 참조모델 개발 시 사용을 지양하는 Operation, BasicEventElement, </t>
    </r>
    <r>
      <rPr>
        <b/>
        <sz val="10"/>
        <color rgb="FFFF0000"/>
        <rFont val="맑은 고딕"/>
        <family val="3"/>
        <charset val="129"/>
      </rPr>
      <t xml:space="preserve">Capability </t>
    </r>
    <r>
      <rPr>
        <b/>
        <sz val="10"/>
        <color theme="1"/>
        <rFont val="맑은 고딕"/>
        <family val="3"/>
        <charset val="129"/>
        <scheme val="minor"/>
      </rPr>
      <t>엘리먼트가 사용되지 않았는지 확인한다.</t>
    </r>
    <phoneticPr fontId="2" type="noConversion"/>
  </si>
  <si>
    <r>
      <t xml:space="preserve">value값에 Example Data가 기입 되었는지 확인한다. 
</t>
    </r>
    <r>
      <rPr>
        <b/>
        <sz val="10"/>
        <color rgb="FFFF0000"/>
        <rFont val="맑은 고딕"/>
        <family val="3"/>
        <charset val="129"/>
      </rPr>
      <t>* DigitalNameplate, HandoverDocumentation 제외</t>
    </r>
    <phoneticPr fontId="2" type="noConversion"/>
  </si>
  <si>
    <t>Concept Description의 dataType이 설정되어 있는지 확인한다
* eCl@ss/CDD에서 dataType이 정의되어 있지 않은 경우는 제외</t>
    <phoneticPr fontId="2" type="noConversion"/>
  </si>
  <si>
    <t>SMD 마운터 AAS Model 정량적 검토 Checklist</t>
    <phoneticPr fontId="2" type="noConversion"/>
  </si>
  <si>
    <t>AASX에 SMD 마운터를 표현하는 Thumbnail 이미지(장비 실사 사진)가 포함되어 있으며, AssetInformation의 defaultThumbnail에도 동일 경로(/aasx/thumbnail.png)가 설정되어 있음.</t>
    <phoneticPr fontId="2" type="noConversion"/>
  </si>
  <si>
    <t>필수 대상(AAS·Submodel 7종·SME 236개)에 idShort가 설정되어 있으며, SML 직속 원소 18개는 허용된 생략 기준(AASd-120)을 적용함.</t>
    <phoneticPr fontId="2" type="noConversion"/>
  </si>
  <si>
    <t>AAS ID가 IRI 형식(https://www.smart-factory.kr/ids/aas/SMDMounter/1/0)으로 작성되었으며, administration 버전 1/0과 ID 끝부분이 일치함.</t>
    <phoneticPr fontId="2" type="noConversion"/>
  </si>
  <si>
    <t>Digital Nameplate, Handover Documentation, Technical Data, Operational Data(필수 4종)를 포함하여 Process Parameters, Time Series, Predictive Maintenance까지 총 7종의 Submodel로 구성됨.</t>
    <phoneticPr fontId="2" type="noConversion"/>
  </si>
  <si>
    <t>smart-factory.kr 네임스페이스 기반 IRI 형식의 globalAssetId(.../ids/asset/SMDMounter/1/0)가 설정되어 있음.</t>
    <phoneticPr fontId="2" type="noConversion"/>
  </si>
  <si>
    <t>AssetInformation의 assetKind가 Type으로 설정되어 있음을 확인함.</t>
    <phoneticPr fontId="2" type="noConversion"/>
  </si>
  <si>
    <t>모든 Submodel ID가 AAS명, Submodel명 및 버전을 포함한 지정 IRI 형식(.../ids/sm/SMDMounter/&lt;Submodel&gt;/1/0)으로 작성되었으며, administration 버전 1/0과 일치함.</t>
    <phoneticPr fontId="2" type="noConversion"/>
  </si>
  <si>
    <t>전체 Submodel 7종의 kind가 Template으로 설정되어 있음.</t>
    <phoneticPr fontId="2" type="noConversion"/>
  </si>
  <si>
    <t>Technical Data는 TechnicalPropertyAreas(SML) 아래 4개 영역(장착기 특성·헤드/피더·비전/제어·전기/환경)과 영역별 하위 SMC로, Operational Data는 4개 그룹(운전 상태·측정값·알람·누적 카운터)과 하위 SMC로 목적별 2단계 계층을 구성함.</t>
    <phoneticPr fontId="2" type="noConversion"/>
  </si>
  <si>
    <t>Operation, BasicEventElement 및 Capability 요소가 사용되지 않았음을 확인함(각 0개).</t>
    <phoneticPr fontId="2" type="noConversion"/>
  </si>
  <si>
    <t>설정된 idShort 전체가 공백이나 부적절한 특수문자 없이 영문자로 시작하는 일관된 영문 명명 형식을 준수함(위반 0건). IDTA 템플릿 요소는 공식 idShort를 그대로 사용함.</t>
    <phoneticPr fontId="2" type="noConversion"/>
  </si>
  <si>
    <t>적용된 IDTA 표준 Submodel(Digital Nameplate 3.0.1, Handover Documentation 2.0.1, Technical Data 2.0.1, Process Parameters 1.0, Time Series 1.1.1[IDTA 02008-1-1-1], Predictive Maintenance 1.0)의 최신 버전을 사용했으며, 공식 배포 템플릿(published JSON) 원본과 요소 경로 단위로 대조한 결과 변경 0·필수 누락 0임(가이던스 표 6).</t>
    <phoneticPr fontId="2" type="noConversion"/>
  </si>
  <si>
    <t>표준 서브모델 6종은 IDTA 공식 semanticId를 원문 그대로(Nameplate는 https://admin-shell.io/idta/nameplate/3/0/Nameplate, Process Parameters는 공식 템플릿 기재값 https://admin-shell-io/idta/SubmodelTemplate/ProcessParameters/1/0), 자체 정의 Operational Data는 smart-factory.kr IRI(.../ids/sm/SMDMounter/OperationalData/1/0)를 적용하여 모든 Submodel에 semanticId가 설정됨. 서브모델 idShort도 공식명(Nameplate 등)을 사용함.</t>
    <phoneticPr fontId="2" type="noConversion"/>
  </si>
  <si>
    <t>검토 대상 Property 123개(DN·HD 제외) 전부에 SMD 마운터의 특성을 반영한 비식별 예시 데이터가 입력됨(DN·HD 포함 전체 152개도 모두 입력).</t>
    <phoneticPr fontId="2" type="noConversion"/>
  </si>
  <si>
    <t>모든 SME(254개)에 semanticId가 설정되어 있고, 246개는 대응 ConceptDescription(총 240개)과 연결됨. 나머지 8개(Nameplate AddressInformation·Markings·AssetSpecificProperties·GuidelineSpecificProperties·그 반복 항목, PdM RemainingUsefulLifetime·ConditionName·ListPreAlerts)는 IDTA 공식 원본에도 같은 id의 CD가 없거나 id가 다르게 적힌 것으로, 비고 규정에 따라 semanticId를 원본대로 두고 원본 CD는 원본 id 그대로 포함함(가이던스 III.4 라.). 모든 CD는 IEC 61360 DataSpecification을 가짐.</t>
    <phoneticPr fontId="2" type="noConversion"/>
  </si>
  <si>
    <t>모든 Property(152개)에 valueType이 설정됨. 자체 정의·ECLASS·IEC CDD CD에 연결된 81개는 CD dataType과 모두 일치함(불일치 0건). IDTA 공식 템플릿 CD에 연결된 70개는 비고 규정(IDTA 배포 서브모델 자체 오류는 수정하지 않음)에 따라 공식 원본 그대로이며, 이 중 45개는 일치, 17개는 원본 CD에 dataType이 없고, 8개(URIOfTheProduct xs:anyURI↔STRING, PdM 수치 7개 xs:double↔STRING)는 원본 SME 자료형과 원본 CD dataType이 다름. ConditionName 1개는 원본에 맞는 CD가 없음 → 가이던스 III.4 검사 예외 목록·원본 결함 처리 표에 기록.</t>
    <phoneticPr fontId="2" type="noConversion"/>
  </si>
  <si>
    <t>ConceptDescription ID가 출처에 따라 IRI 156개(smart-factory.kr 89·IDTA 66·ECLASS CDP 1) 또는 IRDI 84개(ECLASS 62·IEC CDD 22) 형식으로 구성됨. SMD 마운터용으로 채택한 ECLASS 코드 14개는 ECLASS 16.0 사전에 실재함을 확인했고, IDTA 템플릿의 CD 137개는 공식 배포 원본을 그대로(원본의 id 표기 포함) 유지하며 변환기가 IDTA 템플릿 요소용 CD를 따로 만들지 않음.</t>
    <phoneticPr fontId="2" type="noConversion"/>
  </si>
  <si>
    <t>전체 ConceptDescription 240개에 해당 항목의 의미를 설명하는 영문 definition이 작성됨(IDTA 공식 CD 137개는 원본 정의 그대로).</t>
    <phoneticPr fontId="2" type="noConversion"/>
  </si>
  <si>
    <t>자체 정의·ECLASS·IEC CDD 등 CD 103개에는 dataType이 모두 설정됨. IDTA 공식 템플릿 CD 137개는 배포 원본을 그대로 사용하며, 이 중 원본에 dataType이 지정되지 않은 56개(Time Series 18개 등)는 비고 규정(IDTA 배포 서브모델 자체 오류는 수정하지 않음)에 따라 미지정으로 둠. 설정된 184개: STRING 123·REAL_MEASURE 34·INTEGER_COUNT 10·STRING_TRANSLATABLE 8·TIMESTAMP 3·DATE 3·BOOLEAN 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</si>
</sst>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0"/>
      <color theme="0"/>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color theme="1"/>
      <name val="Arial Unicode MS"/>
      <family val="3"/>
      <charset val="129"/>
    </font>
    <font>
      <sz val="10"/>
      <color theme="1"/>
      <name val="맑은 고딕"/>
      <family val="2"/>
      <charset val="129"/>
      <scheme val="minor"/>
    </font>
    <font>
      <b/>
      <sz val="14"/>
      <color theme="0"/>
      <name val="맑은 고딕"/>
      <family val="3"/>
      <charset val="129"/>
      <scheme val="minor"/>
    </font>
    <font>
      <sz val="10"/>
      <color theme="1"/>
      <name val="Wingdings"/>
      <family val="2"/>
      <charset val="2"/>
    </font>
    <font>
      <sz val="10"/>
      <color theme="1"/>
      <name val="맑은 고딕"/>
      <family val="3"/>
      <charset val="129"/>
    </font>
    <font>
      <sz val="11"/>
      <color rgb="FF00B050"/>
      <name val="맑은 고딕"/>
      <family val="3"/>
      <charset val="129"/>
      <scheme val="minor"/>
    </font>
    <font>
      <strike/>
      <sz val="10"/>
      <color rgb="FF00B050"/>
      <name val="맑은 고딕"/>
      <family val="3"/>
      <charset val="129"/>
      <scheme val="minor"/>
    </font>
    <font>
      <strike/>
      <sz val="11"/>
      <color rgb="FF00B050"/>
      <name val="맑은 고딕"/>
      <family val="3"/>
      <charset val="129"/>
      <scheme val="minor"/>
    </font>
    <font>
      <sz val="11"/>
      <name val="맑은 고딕"/>
      <family val="3"/>
      <charset val="129"/>
      <scheme val="minor"/>
    </font>
    <font>
      <sz val="10"/>
      <color theme="1"/>
      <name val="맑은 고딕"/>
      <family val="3"/>
      <charset val="129"/>
      <scheme val="major"/>
    </font>
    <font>
      <b/>
      <sz val="10"/>
      <color theme="1"/>
      <name val="Arial Unicode MS"/>
      <family val="3"/>
      <charset val="129"/>
    </font>
    <font>
      <b/>
      <strike/>
      <sz val="10"/>
      <color theme="1"/>
      <name val="맑은 고딕"/>
      <family val="3"/>
      <charset val="129"/>
      <scheme val="minor"/>
    </font>
    <font>
      <b/>
      <sz val="10"/>
      <color theme="1"/>
      <name val="맑은 고딕"/>
      <family val="3"/>
      <charset val="129"/>
    </font>
    <font>
      <b/>
      <sz val="10"/>
      <color rgb="FFFF0000"/>
      <name val="맑은 고딕"/>
      <family val="3"/>
      <charset val="129"/>
    </font>
  </fonts>
  <fills count="7">
    <fill>
      <patternFill patternType="none"/>
    </fill>
    <fill>
      <patternFill patternType="gray125"/>
    </fill>
    <fill>
      <patternFill patternType="solid">
        <fgColor rgb="FFFFFFCC"/>
      </patternFill>
    </fill>
    <fill>
      <patternFill patternType="solid">
        <fgColor rgb="FF0000FF"/>
        <bgColor indexed="64"/>
      </patternFill>
    </fill>
    <fill>
      <patternFill patternType="solid">
        <fgColor rgb="FFC0CCFF"/>
        <bgColor indexed="64"/>
      </patternFill>
    </fill>
    <fill>
      <patternFill patternType="solid">
        <fgColor theme="0" tint="-0.14999847407452621"/>
        <bgColor indexed="64"/>
      </patternFill>
    </fill>
    <fill>
      <patternFill patternType="solid">
        <fgColor rgb="FFFFFFCC"/>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 fillId="2" borderId="1" applyNumberFormat="0" applyFont="0" applyAlignment="0" applyProtection="0">
      <alignment vertical="center"/>
    </xf>
  </cellStyleXfs>
  <cellXfs count="57">
    <xf numFmtId="0" fontId="0" fillId="0" borderId="0" xfId="0">
      <alignment vertical="center"/>
    </xf>
    <xf numFmtId="0" fontId="5" fillId="4"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quotePrefix="1"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center" vertical="center"/>
    </xf>
    <xf numFmtId="0" fontId="4"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0" xfId="0" applyFont="1">
      <alignment vertical="center"/>
    </xf>
    <xf numFmtId="0" fontId="3" fillId="0" borderId="0" xfId="0" applyFont="1">
      <alignment vertical="center"/>
    </xf>
    <xf numFmtId="0" fontId="7" fillId="2" borderId="2" xfId="1" applyFont="1" applyBorder="1" applyAlignment="1">
      <alignment horizontal="center" vertical="center"/>
    </xf>
    <xf numFmtId="0" fontId="7" fillId="2" borderId="2" xfId="1" quotePrefix="1" applyFont="1" applyBorder="1" applyAlignment="1">
      <alignment horizontal="center" vertical="center"/>
    </xf>
    <xf numFmtId="0" fontId="7" fillId="2" borderId="2" xfId="1" quotePrefix="1" applyFont="1" applyBorder="1" applyAlignment="1">
      <alignment horizontal="center" vertical="center" wrapText="1"/>
    </xf>
    <xf numFmtId="0" fontId="4"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quotePrefix="1" applyFont="1" applyBorder="1" applyAlignment="1">
      <alignment horizontal="center" vertical="center" wrapText="1"/>
      <extLst>
        <ext xmlns:xfpb="http://schemas.microsoft.com/office/spreadsheetml/2022/featurepropertybag" uri="{C7286773-470A-42A8-94C5-96B5CB345126}">
          <xfpb:xfComplement i="0"/>
        </ext>
      </extLst>
    </xf>
    <xf numFmtId="0" fontId="6" fillId="0" borderId="0" xfId="0" applyFont="1">
      <alignment vertical="center"/>
    </xf>
    <xf numFmtId="0" fontId="7" fillId="0" borderId="0" xfId="0" applyFont="1" applyAlignment="1">
      <alignment vertical="center" wrapText="1"/>
    </xf>
    <xf numFmtId="0" fontId="7" fillId="0" borderId="0" xfId="0" quotePrefix="1" applyFont="1" applyAlignment="1">
      <alignment vertical="center" wrapText="1"/>
    </xf>
    <xf numFmtId="0" fontId="0" fillId="0" borderId="0" xfId="0" applyAlignment="1">
      <alignment horizontal="center" vertical="center"/>
    </xf>
    <xf numFmtId="0" fontId="11" fillId="0" borderId="0" xfId="0" applyFont="1">
      <alignment vertical="center"/>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7" fillId="0" borderId="0" xfId="0" applyFont="1" applyAlignment="1">
      <alignment horizontal="center" vertical="center" wrapText="1"/>
    </xf>
    <xf numFmtId="0" fontId="4" fillId="0" borderId="2" xfId="0" quotePrefix="1" applyFont="1" applyBorder="1" applyAlignment="1">
      <alignment horizontal="left" vertical="center" wrapText="1"/>
    </xf>
    <xf numFmtId="0" fontId="3" fillId="0" borderId="0" xfId="0" applyFont="1" applyAlignment="1">
      <alignment vertical="center" wrapText="1"/>
    </xf>
    <xf numFmtId="0" fontId="9" fillId="0" borderId="0" xfId="0" applyFont="1">
      <alignment vertical="center"/>
    </xf>
    <xf numFmtId="0" fontId="15" fillId="0" borderId="2" xfId="0" applyFont="1" applyBorder="1" applyAlignment="1">
      <alignment horizontal="center" vertical="center"/>
    </xf>
    <xf numFmtId="0" fontId="15" fillId="6" borderId="2" xfId="0" applyFont="1" applyFill="1" applyBorder="1" applyAlignment="1">
      <alignment horizontal="center" vertical="center"/>
    </xf>
    <xf numFmtId="0" fontId="15" fillId="0" borderId="2" xfId="0" quotePrefix="1" applyFont="1" applyBorder="1" applyAlignment="1">
      <alignment vertical="center" wrapText="1"/>
    </xf>
    <xf numFmtId="0" fontId="5" fillId="0" borderId="2" xfId="0" quotePrefix="1" applyFont="1" applyBorder="1" applyAlignment="1">
      <alignment horizontal="center" vertical="center"/>
    </xf>
    <xf numFmtId="0" fontId="7"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16" fillId="0" borderId="2" xfId="0" applyFont="1" applyBorder="1" applyAlignment="1">
      <alignment horizontal="center" vertical="center"/>
    </xf>
    <xf numFmtId="0" fontId="10" fillId="0" borderId="2" xfId="0" quotePrefix="1"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19" fillId="0" borderId="2" xfId="0" applyFont="1" applyBorder="1" applyAlignment="1">
      <alignment horizontal="left" vertical="center" wrapText="1"/>
    </xf>
    <xf numFmtId="0" fontId="4" fillId="0" borderId="2" xfId="0" applyFont="1" applyBorder="1" applyAlignment="1">
      <alignment vertical="center" wrapText="1"/>
    </xf>
    <xf numFmtId="0" fontId="0" fillId="0" borderId="2" xfId="0" applyBorder="1" applyAlignment="1">
      <alignment vertical="center" wrapText="1"/>
    </xf>
    <xf numFmtId="0" fontId="5" fillId="0" borderId="2" xfId="0" quotePrefix="1" applyFont="1" applyBorder="1" applyAlignment="1">
      <alignment horizontal="center" vertical="center"/>
    </xf>
    <xf numFmtId="0" fontId="5" fillId="0" borderId="2" xfId="0" applyFont="1" applyBorder="1" applyAlignment="1">
      <alignment horizontal="center" vertical="center"/>
    </xf>
    <xf numFmtId="0" fontId="8" fillId="3" borderId="2" xfId="0" applyFont="1" applyFill="1" applyBorder="1" applyAlignment="1">
      <alignment horizontal="center" vertical="center"/>
    </xf>
    <xf numFmtId="0" fontId="5" fillId="5" borderId="2" xfId="0" applyFont="1" applyFill="1" applyBorder="1" applyAlignment="1">
      <alignment horizontal="center" vertical="center"/>
    </xf>
    <xf numFmtId="49" fontId="4" fillId="0" borderId="2" xfId="0" quotePrefix="1" applyNumberFormat="1" applyFont="1" applyBorder="1" applyAlignment="1">
      <alignment horizontal="left" vertical="center" wrapText="1"/>
    </xf>
    <xf numFmtId="49" fontId="4" fillId="0" borderId="2" xfId="0" quotePrefix="1" applyNumberFormat="1" applyFont="1" applyBorder="1" applyAlignment="1">
      <alignment horizontal="left" vertical="center"/>
    </xf>
    <xf numFmtId="0" fontId="5" fillId="5" borderId="2" xfId="0" applyFont="1" applyFill="1" applyBorder="1" applyAlignment="1">
      <alignment horizontal="center" vertical="center" wrapText="1"/>
    </xf>
    <xf numFmtId="0" fontId="7" fillId="0" borderId="0" xfId="0" applyFont="1" applyAlignment="1">
      <alignment horizontal="center" vertical="center"/>
    </xf>
    <xf numFmtId="0" fontId="8" fillId="3" borderId="3" xfId="0" applyFont="1" applyFill="1" applyBorder="1" applyAlignment="1">
      <alignment horizontal="center" vertical="center"/>
    </xf>
    <xf numFmtId="0" fontId="8" fillId="3" borderId="0" xfId="0" applyFont="1" applyFill="1" applyAlignment="1">
      <alignment horizontal="center" vertical="center"/>
    </xf>
    <xf numFmtId="0" fontId="5" fillId="4" borderId="2" xfId="0" applyFont="1" applyFill="1" applyBorder="1" applyAlignment="1">
      <alignment horizontal="center" vertical="center"/>
    </xf>
    <xf numFmtId="0" fontId="7" fillId="0" borderId="2" xfId="0" applyFont="1" applyBorder="1" applyAlignment="1">
      <alignment horizontal="center" vertical="center"/>
    </xf>
    <xf numFmtId="0" fontId="5" fillId="5" borderId="2" xfId="0" quotePrefix="1" applyFont="1" applyFill="1" applyBorder="1" applyAlignment="1">
      <alignment horizontal="center" vertical="center"/>
    </xf>
    <xf numFmtId="0" fontId="9"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2" xfId="0" applyFont="1" applyBorder="1" applyAlignment="1">
      <alignment horizontal="center" vertical="center"/>
      <extLst>
        <ext xmlns:xfpb="http://schemas.microsoft.com/office/spreadsheetml/2022/featurepropertybag" uri="{C7286773-470A-42A8-94C5-96B5CB345126}">
          <xfpb:xfComplement i="0"/>
        </ext>
      </extLst>
    </xf>
  </cellXfs>
  <cellStyles count="2">
    <cellStyle name="메모" xfId="1" builtinId="10"/>
    <cellStyle name="표준" xfId="0" builtinId="0"/>
  </cellStyles>
  <dxfs count="0"/>
  <tableStyles count="0" defaultTableStyle="TableStyleMedium2" defaultPivotStyle="PivotStyleLight16"/>
  <colors>
    <mruColors>
      <color rgb="FF0000FF"/>
      <color rgb="FFFFFFCC"/>
      <color rgb="FFC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1D97-18C1-4F89-9679-A4237428C2F2}">
  <sheetPr codeName="Sheet2"/>
  <dimension ref="A1:K29"/>
  <sheetViews>
    <sheetView showGridLines="0" tabSelected="1" zoomScale="85" zoomScaleNormal="85" workbookViewId="0">
      <selection activeCell="G11" sqref="G11"/>
    </sheetView>
  </sheetViews>
  <sheetFormatPr defaultColWidth="8.875" defaultRowHeight="16.5"/>
  <cols>
    <col min="1" max="1" width="17.5" style="11" bestFit="1" customWidth="1"/>
    <col min="2" max="2" width="4.5" style="11" bestFit="1" customWidth="1"/>
    <col min="3" max="3" width="6.375" style="11" bestFit="1" customWidth="1"/>
    <col min="4" max="4" width="26.5" style="11" bestFit="1" customWidth="1"/>
    <col min="5" max="5" width="71.375" style="11" customWidth="1"/>
    <col min="6" max="6" width="10" style="11" customWidth="1"/>
    <col min="7" max="7" width="200.25" style="27" bestFit="1" customWidth="1"/>
    <col min="8" max="8" width="24" customWidth="1"/>
    <col min="9" max="9" width="107.375" style="18" customWidth="1"/>
    <col min="10" max="10" width="13" style="20" customWidth="1"/>
    <col min="11" max="11" width="39.5" customWidth="1"/>
  </cols>
  <sheetData>
    <row r="1" spans="1:11" ht="20.25">
      <c r="A1" s="44" t="s">
        <v>78</v>
      </c>
      <c r="B1" s="44"/>
      <c r="C1" s="44"/>
      <c r="D1" s="44"/>
      <c r="E1" s="44"/>
      <c r="F1" s="44"/>
      <c r="G1" s="44"/>
      <c r="I1" s="25"/>
      <c r="K1" s="20"/>
    </row>
    <row r="2" spans="1:11">
      <c r="A2" s="1" t="s">
        <v>2</v>
      </c>
      <c r="B2" s="1" t="s">
        <v>3</v>
      </c>
      <c r="C2" s="1" t="s">
        <v>4</v>
      </c>
      <c r="D2" s="1" t="s">
        <v>5</v>
      </c>
      <c r="E2" s="2" t="s">
        <v>0</v>
      </c>
      <c r="F2" s="2" t="s">
        <v>6</v>
      </c>
      <c r="G2" s="2" t="s">
        <v>44</v>
      </c>
      <c r="K2" s="21"/>
    </row>
    <row r="3" spans="1:11" ht="27" customHeight="1">
      <c r="A3" s="3" t="s">
        <v>7</v>
      </c>
      <c r="B3" s="4">
        <v>1</v>
      </c>
      <c r="C3" s="4" t="s">
        <v>8</v>
      </c>
      <c r="D3" s="4" t="s">
        <v>9</v>
      </c>
      <c r="E3" s="39" t="s">
        <v>68</v>
      </c>
      <c r="F3" s="15" t="b">
        <v>1</v>
      </c>
      <c r="G3" s="40" t="s">
        <v>79</v>
      </c>
      <c r="K3" s="21"/>
    </row>
    <row r="4" spans="1:11" ht="24" customHeight="1">
      <c r="A4" s="45" t="s">
        <v>58</v>
      </c>
      <c r="B4" s="7">
        <v>2</v>
      </c>
      <c r="C4" s="7" t="s">
        <v>8</v>
      </c>
      <c r="D4" s="7" t="s">
        <v>10</v>
      </c>
      <c r="E4" s="37" t="s">
        <v>11</v>
      </c>
      <c r="F4" s="15" t="b">
        <v>1</v>
      </c>
      <c r="G4" s="41" t="s">
        <v>80</v>
      </c>
      <c r="K4" s="21"/>
    </row>
    <row r="5" spans="1:11" ht="67.5" customHeight="1">
      <c r="A5" s="45"/>
      <c r="B5" s="7">
        <v>3</v>
      </c>
      <c r="C5" s="7" t="s">
        <v>8</v>
      </c>
      <c r="D5" s="7" t="s">
        <v>41</v>
      </c>
      <c r="E5" s="37" t="s">
        <v>72</v>
      </c>
      <c r="F5" s="15" t="b">
        <v>1</v>
      </c>
      <c r="G5" s="41" t="s">
        <v>89</v>
      </c>
      <c r="K5" s="21"/>
    </row>
    <row r="6" spans="1:11" ht="54" customHeight="1">
      <c r="A6" s="45" t="s">
        <v>45</v>
      </c>
      <c r="B6" s="4">
        <v>4</v>
      </c>
      <c r="C6" s="4" t="s">
        <v>8</v>
      </c>
      <c r="D6" s="4" t="s">
        <v>12</v>
      </c>
      <c r="E6" s="6" t="s">
        <v>73</v>
      </c>
      <c r="F6" s="15" t="b">
        <v>1</v>
      </c>
      <c r="G6" s="41" t="s">
        <v>81</v>
      </c>
      <c r="K6" s="21"/>
    </row>
    <row r="7" spans="1:11" ht="54" customHeight="1">
      <c r="A7" s="45"/>
      <c r="B7" s="5">
        <v>5</v>
      </c>
      <c r="C7" s="4" t="s">
        <v>8</v>
      </c>
      <c r="D7" s="4" t="s">
        <v>14</v>
      </c>
      <c r="E7" s="6" t="s">
        <v>69</v>
      </c>
      <c r="F7" s="15" t="b">
        <v>1</v>
      </c>
      <c r="G7" s="41" t="s">
        <v>82</v>
      </c>
      <c r="K7" s="21"/>
    </row>
    <row r="8" spans="1:11" ht="24.95" customHeight="1">
      <c r="A8" s="45"/>
      <c r="B8" s="4">
        <v>6</v>
      </c>
      <c r="C8" s="4" t="s">
        <v>13</v>
      </c>
      <c r="D8" s="4" t="s">
        <v>15</v>
      </c>
      <c r="E8" s="6" t="s">
        <v>16</v>
      </c>
      <c r="F8" s="15" t="b">
        <v>1</v>
      </c>
      <c r="G8" s="41" t="s">
        <v>83</v>
      </c>
      <c r="K8" s="21"/>
    </row>
    <row r="9" spans="1:11" ht="24.95" customHeight="1">
      <c r="A9" s="45"/>
      <c r="B9" s="4">
        <v>7</v>
      </c>
      <c r="C9" s="4" t="s">
        <v>8</v>
      </c>
      <c r="D9" s="4" t="s">
        <v>17</v>
      </c>
      <c r="E9" s="26" t="s">
        <v>42</v>
      </c>
      <c r="F9" s="16" t="b">
        <v>1</v>
      </c>
      <c r="G9" s="41" t="s">
        <v>84</v>
      </c>
      <c r="K9" s="21"/>
    </row>
    <row r="10" spans="1:11" ht="33.950000000000003" customHeight="1">
      <c r="A10" s="45" t="s">
        <v>18</v>
      </c>
      <c r="B10" s="7">
        <v>8</v>
      </c>
      <c r="C10" s="7" t="s">
        <v>8</v>
      </c>
      <c r="D10" s="7" t="s">
        <v>59</v>
      </c>
      <c r="E10" s="38" t="s">
        <v>60</v>
      </c>
      <c r="F10" s="16" t="b">
        <v>1</v>
      </c>
      <c r="G10" s="41" t="s">
        <v>90</v>
      </c>
      <c r="K10" s="21"/>
    </row>
    <row r="11" spans="1:11" ht="54" customHeight="1">
      <c r="A11" s="45"/>
      <c r="B11" s="4">
        <v>9</v>
      </c>
      <c r="C11" s="4" t="s">
        <v>8</v>
      </c>
      <c r="D11" s="4" t="s">
        <v>12</v>
      </c>
      <c r="E11" s="6" t="s">
        <v>73</v>
      </c>
      <c r="F11" s="15" t="b">
        <v>1</v>
      </c>
      <c r="G11" s="41" t="s">
        <v>85</v>
      </c>
      <c r="K11" s="23"/>
    </row>
    <row r="12" spans="1:11" ht="49.5" customHeight="1">
      <c r="A12" s="45"/>
      <c r="B12" s="5">
        <v>10</v>
      </c>
      <c r="C12" s="4" t="s">
        <v>8</v>
      </c>
      <c r="D12" s="4" t="s">
        <v>19</v>
      </c>
      <c r="E12" s="6" t="s">
        <v>40</v>
      </c>
      <c r="F12" s="15" t="b">
        <v>1</v>
      </c>
      <c r="G12" s="41" t="s">
        <v>91</v>
      </c>
      <c r="I12" s="19"/>
      <c r="J12" s="24"/>
      <c r="K12" s="21"/>
    </row>
    <row r="13" spans="1:11" ht="24.95" customHeight="1">
      <c r="A13" s="45"/>
      <c r="B13" s="4">
        <v>11</v>
      </c>
      <c r="C13" s="4" t="s">
        <v>8</v>
      </c>
      <c r="D13" s="4" t="s">
        <v>20</v>
      </c>
      <c r="E13" s="26" t="s">
        <v>43</v>
      </c>
      <c r="F13" s="16" t="b">
        <v>1</v>
      </c>
      <c r="G13" s="41" t="s">
        <v>86</v>
      </c>
      <c r="K13" s="21"/>
    </row>
    <row r="14" spans="1:11" ht="129.94999999999999" customHeight="1">
      <c r="A14" s="45"/>
      <c r="B14" s="7">
        <v>12</v>
      </c>
      <c r="C14" s="7" t="s">
        <v>13</v>
      </c>
      <c r="D14" s="7" t="s">
        <v>61</v>
      </c>
      <c r="E14" s="38" t="s">
        <v>74</v>
      </c>
      <c r="F14" s="16" t="b">
        <v>1</v>
      </c>
      <c r="G14" s="6" t="s">
        <v>87</v>
      </c>
      <c r="K14" s="21"/>
    </row>
    <row r="15" spans="1:11" ht="27" customHeight="1">
      <c r="A15" s="48" t="s">
        <v>65</v>
      </c>
      <c r="B15" s="7">
        <v>13</v>
      </c>
      <c r="C15" s="7" t="s">
        <v>13</v>
      </c>
      <c r="D15" s="36" t="s">
        <v>64</v>
      </c>
      <c r="E15" s="37" t="s">
        <v>75</v>
      </c>
      <c r="F15" s="16" t="b">
        <v>1</v>
      </c>
      <c r="G15" s="41" t="s">
        <v>88</v>
      </c>
      <c r="K15" s="21"/>
    </row>
    <row r="16" spans="1:11" ht="27" customHeight="1">
      <c r="A16" s="48"/>
      <c r="B16" s="4">
        <v>14</v>
      </c>
      <c r="C16" s="4" t="s">
        <v>8</v>
      </c>
      <c r="D16" s="4" t="s">
        <v>62</v>
      </c>
      <c r="E16" s="6" t="s">
        <v>67</v>
      </c>
      <c r="F16" s="16" t="b">
        <v>1</v>
      </c>
      <c r="G16" s="6" t="s">
        <v>93</v>
      </c>
      <c r="K16" s="21"/>
    </row>
    <row r="17" spans="1:11" ht="53.1" customHeight="1">
      <c r="A17" s="48" t="s">
        <v>66</v>
      </c>
      <c r="B17" s="7">
        <v>15</v>
      </c>
      <c r="C17" s="7" t="s">
        <v>8</v>
      </c>
      <c r="D17" s="7" t="s">
        <v>21</v>
      </c>
      <c r="E17" s="37" t="s">
        <v>76</v>
      </c>
      <c r="F17" s="15" t="b">
        <v>1</v>
      </c>
      <c r="G17" s="31" t="s">
        <v>92</v>
      </c>
      <c r="K17" s="21"/>
    </row>
    <row r="18" spans="1:11" ht="40.5" customHeight="1">
      <c r="A18" s="48"/>
      <c r="B18" s="5">
        <v>16</v>
      </c>
      <c r="C18" s="4" t="s">
        <v>8</v>
      </c>
      <c r="D18" s="8" t="s">
        <v>63</v>
      </c>
      <c r="E18" s="6" t="s">
        <v>56</v>
      </c>
      <c r="F18" s="33" t="b">
        <v>1</v>
      </c>
      <c r="G18" s="35" t="s">
        <v>94</v>
      </c>
      <c r="K18" s="21"/>
    </row>
    <row r="19" spans="1:11" ht="69" customHeight="1">
      <c r="A19" s="45" t="s">
        <v>22</v>
      </c>
      <c r="B19" s="5">
        <v>17</v>
      </c>
      <c r="C19" s="4" t="s">
        <v>8</v>
      </c>
      <c r="D19" s="4" t="s">
        <v>12</v>
      </c>
      <c r="E19" s="6" t="s">
        <v>71</v>
      </c>
      <c r="F19" s="15" t="b">
        <v>1</v>
      </c>
      <c r="G19" s="26" t="s">
        <v>95</v>
      </c>
      <c r="K19" s="21"/>
    </row>
    <row r="20" spans="1:11" ht="53.1" customHeight="1">
      <c r="A20" s="45"/>
      <c r="B20" s="4">
        <v>18</v>
      </c>
      <c r="C20" s="8" t="s">
        <v>8</v>
      </c>
      <c r="D20" s="4" t="s">
        <v>39</v>
      </c>
      <c r="E20" s="6" t="s">
        <v>70</v>
      </c>
      <c r="F20" s="15" t="b">
        <v>1</v>
      </c>
      <c r="G20" s="6" t="s">
        <v>96</v>
      </c>
      <c r="I20" s="19"/>
      <c r="K20" s="21"/>
    </row>
    <row r="21" spans="1:11" ht="53.1" customHeight="1">
      <c r="A21" s="45"/>
      <c r="B21" s="5">
        <v>19</v>
      </c>
      <c r="C21" s="8" t="s">
        <v>8</v>
      </c>
      <c r="D21" s="4" t="s">
        <v>57</v>
      </c>
      <c r="E21" s="6" t="s">
        <v>77</v>
      </c>
      <c r="F21" s="15" t="b">
        <v>1</v>
      </c>
      <c r="G21" s="6" t="s">
        <v>97</v>
      </c>
      <c r="I21" s="19"/>
      <c r="K21" s="21"/>
    </row>
    <row r="22" spans="1:11" ht="51.95" customHeight="1">
      <c r="A22" s="3" t="s">
        <v>1</v>
      </c>
      <c r="B22" s="46" t="s">
        <v>55</v>
      </c>
      <c r="C22" s="47"/>
      <c r="D22" s="47"/>
      <c r="E22" s="47"/>
      <c r="F22" s="47"/>
      <c r="G22" s="47"/>
      <c r="I22" s="19"/>
      <c r="K22" s="21"/>
    </row>
    <row r="23" spans="1:11">
      <c r="A23" s="3" t="s">
        <v>30</v>
      </c>
      <c r="B23" s="32">
        <v>19</v>
      </c>
      <c r="C23" s="42"/>
      <c r="D23" s="43"/>
      <c r="E23" s="43"/>
      <c r="F23" s="43"/>
      <c r="G23" s="43"/>
      <c r="K23" s="21"/>
    </row>
    <row r="24" spans="1:11">
      <c r="B24" s="11" t="s">
        <v>54</v>
      </c>
      <c r="K24" s="21"/>
    </row>
    <row r="25" spans="1:11">
      <c r="K25" s="21"/>
    </row>
    <row r="26" spans="1:11">
      <c r="K26" s="22"/>
    </row>
    <row r="29" spans="1:11">
      <c r="H29" s="11"/>
    </row>
  </sheetData>
  <mergeCells count="9">
    <mergeCell ref="C23:G23"/>
    <mergeCell ref="A1:G1"/>
    <mergeCell ref="A10:A14"/>
    <mergeCell ref="B22:G22"/>
    <mergeCell ref="A4:A5"/>
    <mergeCell ref="A6:A9"/>
    <mergeCell ref="A19:A21"/>
    <mergeCell ref="A15:A16"/>
    <mergeCell ref="A17:A18"/>
  </mergeCells>
  <phoneticPr fontId="2" type="noConversion"/>
  <printOptions headings="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CFA8-2B62-4A0D-A4D5-EAC8DD1FB7DB}">
  <sheetPr codeName="Sheet3"/>
  <dimension ref="A1:J13"/>
  <sheetViews>
    <sheetView zoomScale="130" zoomScaleNormal="130" workbookViewId="0">
      <selection activeCell="G28" sqref="G28"/>
    </sheetView>
  </sheetViews>
  <sheetFormatPr defaultColWidth="8.875" defaultRowHeight="16.5"/>
  <cols>
    <col min="1" max="4" width="9" style="10"/>
    <col min="5" max="6" width="15" style="10" customWidth="1"/>
    <col min="7" max="7" width="17" style="10" customWidth="1"/>
    <col min="8" max="8" width="21.375" style="10" customWidth="1"/>
    <col min="9" max="9" width="28.5" bestFit="1" customWidth="1"/>
  </cols>
  <sheetData>
    <row r="1" spans="1:10" ht="20.25">
      <c r="A1" s="50" t="s">
        <v>32</v>
      </c>
      <c r="B1" s="51"/>
      <c r="C1" s="51"/>
      <c r="D1" s="51"/>
      <c r="E1" s="51"/>
      <c r="F1" s="51"/>
      <c r="G1" s="51"/>
      <c r="H1" s="51"/>
      <c r="I1" s="51"/>
      <c r="J1" s="17"/>
    </row>
    <row r="2" spans="1:10">
      <c r="A2" s="52" t="s">
        <v>24</v>
      </c>
      <c r="B2" s="52"/>
      <c r="C2" s="52"/>
      <c r="D2" s="52"/>
      <c r="E2" s="1" t="s">
        <v>25</v>
      </c>
      <c r="F2" s="2" t="s">
        <v>26</v>
      </c>
      <c r="G2" s="1" t="s">
        <v>27</v>
      </c>
      <c r="H2" s="1" t="s">
        <v>28</v>
      </c>
      <c r="I2" s="1" t="s">
        <v>1</v>
      </c>
    </row>
    <row r="3" spans="1:10">
      <c r="A3" s="45" t="s">
        <v>29</v>
      </c>
      <c r="B3" s="45"/>
      <c r="C3" s="45"/>
      <c r="D3" s="45"/>
      <c r="E3" s="55" t="s">
        <v>34</v>
      </c>
      <c r="F3" s="56"/>
      <c r="G3" s="9">
        <f>COUNTIF('AAS Model Checklist'!F3:F21, TRUE)</f>
        <v>19</v>
      </c>
      <c r="H3" s="9">
        <f>ROUND(G3/G5, 3) * 100</f>
        <v>100</v>
      </c>
      <c r="I3" s="29" t="s">
        <v>48</v>
      </c>
    </row>
    <row r="4" spans="1:10">
      <c r="A4" s="45"/>
      <c r="B4" s="45"/>
      <c r="C4" s="45"/>
      <c r="D4" s="45"/>
      <c r="E4" s="55" t="s">
        <v>33</v>
      </c>
      <c r="F4" s="56"/>
      <c r="G4" s="34">
        <f>'AAS Model Checklist'!B23 - G3</f>
        <v>0</v>
      </c>
      <c r="H4" s="9">
        <f>ROUND(G4/G5, 3) * 100</f>
        <v>0</v>
      </c>
      <c r="I4" s="29" t="s">
        <v>47</v>
      </c>
    </row>
    <row r="5" spans="1:10">
      <c r="A5" s="45"/>
      <c r="B5" s="45"/>
      <c r="C5" s="45"/>
      <c r="D5" s="45"/>
      <c r="E5" s="12" t="s">
        <v>30</v>
      </c>
      <c r="F5" s="13" t="s">
        <v>23</v>
      </c>
      <c r="G5" s="12">
        <f>SUM(G3:G4)</f>
        <v>19</v>
      </c>
      <c r="H5" s="12">
        <f>SUM(H3:H4)</f>
        <v>100</v>
      </c>
      <c r="I5" s="30" t="s">
        <v>53</v>
      </c>
    </row>
    <row r="6" spans="1:10">
      <c r="A6" s="54" t="s">
        <v>31</v>
      </c>
      <c r="B6" s="54"/>
      <c r="C6" s="54"/>
      <c r="D6" s="54"/>
      <c r="E6" s="53" t="s">
        <v>8</v>
      </c>
      <c r="F6" s="9" t="s">
        <v>35</v>
      </c>
      <c r="G6" s="9">
        <f>COUNTIFS('AAS Model Checklist'!C3:C21, "필수", 'AAS Model Checklist'!F3:F21, TRUE)</f>
        <v>16</v>
      </c>
      <c r="H6" s="9">
        <f>ROUND(G6/G10, 3) * 100</f>
        <v>84.2</v>
      </c>
      <c r="I6" s="29" t="s">
        <v>49</v>
      </c>
    </row>
    <row r="7" spans="1:10">
      <c r="A7" s="54"/>
      <c r="B7" s="54"/>
      <c r="C7" s="54"/>
      <c r="D7" s="54"/>
      <c r="E7" s="53"/>
      <c r="F7" s="9" t="s">
        <v>36</v>
      </c>
      <c r="G7" s="9">
        <f>COUNTIFS('AAS Model Checklist'!C3:C21, "필수", 'AAS Model Checklist'!F3:F21, FALSE)</f>
        <v>0</v>
      </c>
      <c r="H7" s="9">
        <f>ROUND(G7/G10, 3) * 100</f>
        <v>0</v>
      </c>
      <c r="I7" s="29" t="s">
        <v>50</v>
      </c>
    </row>
    <row r="8" spans="1:10">
      <c r="A8" s="54"/>
      <c r="B8" s="54"/>
      <c r="C8" s="54"/>
      <c r="D8" s="54"/>
      <c r="E8" s="53" t="s">
        <v>13</v>
      </c>
      <c r="F8" s="9" t="s">
        <v>37</v>
      </c>
      <c r="G8" s="9">
        <f>COUNTIFS('AAS Model Checklist'!C3:C21, "옵션", 'AAS Model Checklist'!F3:F21, TRUE)</f>
        <v>3</v>
      </c>
      <c r="H8" s="9">
        <f>ROUND(G8/G10, 3) * 100</f>
        <v>15.8</v>
      </c>
      <c r="I8" s="29" t="s">
        <v>51</v>
      </c>
    </row>
    <row r="9" spans="1:10">
      <c r="A9" s="54"/>
      <c r="B9" s="54"/>
      <c r="C9" s="54"/>
      <c r="D9" s="54"/>
      <c r="E9" s="53"/>
      <c r="F9" s="9" t="s">
        <v>38</v>
      </c>
      <c r="G9" s="9">
        <f>COUNTIFS('AAS Model Checklist'!C3:C21, "옵션", 'AAS Model Checklist'!F3:F21, FALSE)</f>
        <v>0</v>
      </c>
      <c r="H9" s="9">
        <f>ROUND(G9/G10, 3) * 100</f>
        <v>0</v>
      </c>
      <c r="I9" s="29" t="s">
        <v>52</v>
      </c>
    </row>
    <row r="10" spans="1:10">
      <c r="A10" s="54"/>
      <c r="B10" s="54"/>
      <c r="C10" s="54"/>
      <c r="D10" s="54"/>
      <c r="E10" s="12" t="s">
        <v>30</v>
      </c>
      <c r="F10" s="14" t="s">
        <v>23</v>
      </c>
      <c r="G10" s="12">
        <f>SUM(G6:G9)</f>
        <v>19</v>
      </c>
      <c r="H10" s="12">
        <f>SUM(H6:H9)</f>
        <v>100</v>
      </c>
      <c r="I10" s="30" t="s">
        <v>53</v>
      </c>
    </row>
    <row r="12" spans="1:10">
      <c r="A12" s="49" t="s">
        <v>46</v>
      </c>
      <c r="B12" s="49"/>
      <c r="C12" s="49"/>
      <c r="D12" s="49"/>
      <c r="E12" s="49"/>
      <c r="F12" s="49"/>
      <c r="G12" s="49"/>
      <c r="H12" s="49"/>
      <c r="I12" s="49"/>
    </row>
    <row r="13" spans="1:10">
      <c r="B13" s="28"/>
    </row>
  </sheetData>
  <mergeCells count="9">
    <mergeCell ref="A12:I12"/>
    <mergeCell ref="A1:I1"/>
    <mergeCell ref="A2:D2"/>
    <mergeCell ref="E6:E7"/>
    <mergeCell ref="E8:E9"/>
    <mergeCell ref="A3:D5"/>
    <mergeCell ref="A6:D10"/>
    <mergeCell ref="E3:F3"/>
    <mergeCell ref="E4:F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AAS Model Checklist</vt:lpstr>
      <vt:lpstr>AAS Model Checklist 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서영건</cp:lastModifiedBy>
  <cp:lastPrinted>2025-02-14T07:07:43Z</cp:lastPrinted>
  <dcterms:created xsi:type="dcterms:W3CDTF">2025-02-14T06:46:23Z</dcterms:created>
  <dcterms:modified xsi:type="dcterms:W3CDTF">2026-10-27T12:35:56Z</dcterms:modified>
</cp:coreProperties>
</file>