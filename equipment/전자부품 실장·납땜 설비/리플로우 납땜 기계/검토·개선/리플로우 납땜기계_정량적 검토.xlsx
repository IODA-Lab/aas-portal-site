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user\AAS\Outputs\Month_03\리플로우 납땜기계\"/>
    </mc:Choice>
  </mc:AlternateContent>
  <xr:revisionPtr revIDLastSave="0" documentId="13_ncr:1_{A80E494E-08B9-468F-8337-CD6F37422B11}" xr6:coauthVersionLast="47" xr6:coauthVersionMax="47" xr10:uidLastSave="{00000000-0000-0000-0000-000000000000}"/>
  <bookViews>
    <workbookView xWindow="-98" yWindow="-98" windowWidth="21795" windowHeight="12975" xr2:uid="{5D672DD9-5B8D-4463-AED7-35C87E05FECA}"/>
  </bookViews>
  <sheets>
    <sheet name="AAS Model Checklist" sheetId="2" r:id="rId1"/>
    <sheet name="AAS Model Checklist Resul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4" i="3" s="1"/>
  <c r="G5" i="3" l="1"/>
  <c r="G10" i="3"/>
  <c r="H4" i="3" l="1"/>
  <c r="H3" i="3"/>
  <c r="H8" i="3"/>
  <c r="H9" i="3"/>
  <c r="H6" i="3"/>
  <c r="H7" i="3"/>
  <c r="H5" i="3" l="1"/>
  <c r="H10" i="3"/>
</calcChain>
</file>

<file path=xl/sharedStrings.xml><?xml version="1.0" encoding="utf-8"?>
<sst xmlns="http://schemas.openxmlformats.org/spreadsheetml/2006/main" count="126" uniqueCount="99">
  <si>
    <t>설명</t>
    <phoneticPr fontId="2" type="noConversion"/>
  </si>
  <si>
    <t>비고</t>
    <phoneticPr fontId="2" type="noConversion"/>
  </si>
  <si>
    <t>분류(대상)</t>
    <phoneticPr fontId="2" type="noConversion"/>
  </si>
  <si>
    <t>번호</t>
    <phoneticPr fontId="2" type="noConversion"/>
  </si>
  <si>
    <t>중요도</t>
    <phoneticPr fontId="2" type="noConversion"/>
  </si>
  <si>
    <t>체크사항</t>
    <phoneticPr fontId="2" type="noConversion"/>
  </si>
  <si>
    <t>체크</t>
    <phoneticPr fontId="2" type="noConversion"/>
  </si>
  <si>
    <t>기본사항</t>
    <phoneticPr fontId="2" type="noConversion"/>
  </si>
  <si>
    <t>필수</t>
    <phoneticPr fontId="2" type="noConversion"/>
  </si>
  <si>
    <t>Thumnail</t>
    <phoneticPr fontId="2" type="noConversion"/>
  </si>
  <si>
    <t>idShort 설정여부</t>
    <phoneticPr fontId="2" type="noConversion"/>
  </si>
  <si>
    <t>idShort가 설정되어 있는지 확인한다.</t>
    <phoneticPr fontId="2" type="noConversion"/>
  </si>
  <si>
    <t>Id</t>
    <phoneticPr fontId="2" type="noConversion"/>
  </si>
  <si>
    <t>옵션</t>
    <phoneticPr fontId="2" type="noConversion"/>
  </si>
  <si>
    <t>Submodel 구성</t>
    <phoneticPr fontId="2" type="noConversion"/>
  </si>
  <si>
    <t>globalAssetId 여부</t>
    <phoneticPr fontId="2" type="noConversion"/>
  </si>
  <si>
    <t>globalAssetId가 설정되어 있는지 확인한다.</t>
    <phoneticPr fontId="2" type="noConversion"/>
  </si>
  <si>
    <t>Type종류</t>
    <phoneticPr fontId="2" type="noConversion"/>
  </si>
  <si>
    <t>Submodel</t>
    <phoneticPr fontId="2" type="noConversion"/>
  </si>
  <si>
    <t>Semantic ID</t>
    <phoneticPr fontId="2" type="noConversion"/>
  </si>
  <si>
    <t>kind</t>
    <phoneticPr fontId="2" type="noConversion"/>
  </si>
  <si>
    <t>value 값 여부</t>
    <phoneticPr fontId="2" type="noConversion"/>
  </si>
  <si>
    <t>ConceptDescription</t>
    <phoneticPr fontId="2" type="noConversion"/>
  </si>
  <si>
    <t>-</t>
    <phoneticPr fontId="2" type="noConversion"/>
  </si>
  <si>
    <t>분류</t>
    <phoneticPr fontId="2" type="noConversion"/>
  </si>
  <si>
    <t>기준항목</t>
    <phoneticPr fontId="2" type="noConversion"/>
  </si>
  <si>
    <t>세부항목</t>
    <phoneticPr fontId="2" type="noConversion"/>
  </si>
  <si>
    <t>개수</t>
    <phoneticPr fontId="2" type="noConversion"/>
  </si>
  <si>
    <t>%</t>
    <phoneticPr fontId="2" type="noConversion"/>
  </si>
  <si>
    <t>단순통계</t>
    <phoneticPr fontId="2" type="noConversion"/>
  </si>
  <si>
    <t>합계</t>
    <phoneticPr fontId="2" type="noConversion"/>
  </si>
  <si>
    <t>'중요도'기준 통계</t>
    <phoneticPr fontId="2" type="noConversion"/>
  </si>
  <si>
    <t>AAS Model Checklist Result</t>
    <phoneticPr fontId="2" type="noConversion"/>
  </si>
  <si>
    <t></t>
    <phoneticPr fontId="2" type="noConversion"/>
  </si>
  <si>
    <t></t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</si>
  <si>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</si>
  <si>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</si>
  <si>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</si>
  <si>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</si>
  <si>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t>definition 여부</t>
    <phoneticPr fontId="2" type="noConversion"/>
  </si>
  <si>
    <r>
      <t xml:space="preserve">Semantic ID가 작성되어 있는지 확인한다. 
</t>
    </r>
    <r>
      <rPr>
        <sz val="10"/>
        <color theme="1"/>
        <rFont val="맑은 고딕"/>
        <family val="3"/>
        <charset val="129"/>
      </rPr>
      <t>표준 서브모델이 아닌 경우, 적절한 형식의 IRI 식별자인지 확인한다.</t>
    </r>
    <phoneticPr fontId="2" type="noConversion"/>
  </si>
  <si>
    <t>idShort 명명규칙</t>
    <phoneticPr fontId="2" type="noConversion"/>
  </si>
  <si>
    <t>'kind'가 'Type'으로 지정되어 있는지 확인한다.</t>
    <phoneticPr fontId="2" type="noConversion"/>
  </si>
  <si>
    <t>'kind'가 'Template'으로 지정되어 있는지 확인한다</t>
    <phoneticPr fontId="2" type="noConversion"/>
  </si>
  <si>
    <t>비고 (검토의견)</t>
    <phoneticPr fontId="2" type="noConversion"/>
  </si>
  <si>
    <t>AAS</t>
    <phoneticPr fontId="2" type="noConversion"/>
  </si>
  <si>
    <t>※ "AAS Model Checklist" sheet에서 각 체크사항에 대해 충족/불충족 항목들에 대한 개수를 정리한 시트입니다.</t>
    <phoneticPr fontId="2" type="noConversion"/>
  </si>
  <si>
    <t>체크사항 불충족 항목</t>
    <phoneticPr fontId="2" type="noConversion"/>
  </si>
  <si>
    <t>체크사항 충족 항목</t>
    <phoneticPr fontId="2" type="noConversion"/>
  </si>
  <si>
    <t>필수 체크사항 충족 항목</t>
    <phoneticPr fontId="2" type="noConversion"/>
  </si>
  <si>
    <t>필수 체크사항 불충족 항목</t>
    <phoneticPr fontId="2" type="noConversion"/>
  </si>
  <si>
    <t>옵션 체크사항 충족 항목</t>
    <phoneticPr fontId="2" type="noConversion"/>
  </si>
  <si>
    <t>옵션 체크사항 불충족 항목</t>
    <phoneticPr fontId="2" type="noConversion"/>
  </si>
  <si>
    <t>총 체크사항</t>
    <phoneticPr fontId="2" type="noConversion"/>
  </si>
  <si>
    <t>\</t>
    <phoneticPr fontId="2" type="noConversion"/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</si>
  <si>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  <phoneticPr fontId="2" type="noConversion"/>
  </si>
  <si>
    <t>valueType이 설정되어야 하며, 
연결된 Concept Description의 dataType과 매칭되는 데이터 타입으로 설정되어야 한다</t>
    <phoneticPr fontId="2" type="noConversion"/>
  </si>
  <si>
    <t>dataType 설정여부</t>
    <phoneticPr fontId="2" type="noConversion"/>
  </si>
  <si>
    <t>공통</t>
    <phoneticPr fontId="2" type="noConversion"/>
  </si>
  <si>
    <t>최신 Version 여부</t>
    <phoneticPr fontId="2" type="noConversion"/>
  </si>
  <si>
    <t>IDTA 서브모델 템플릿을 활용하는 경우, 최신 버전의 템플릿을 사용하고 있는지 확인한다.</t>
    <phoneticPr fontId="2" type="noConversion"/>
  </si>
  <si>
    <t>계층 세분화</t>
    <phoneticPr fontId="2" type="noConversion"/>
  </si>
  <si>
    <t>Concept Description 매핑여부</t>
    <phoneticPr fontId="2" type="noConversion"/>
  </si>
  <si>
    <t>Concept Description과 
data type 매칭여부</t>
    <phoneticPr fontId="2" type="noConversion"/>
  </si>
  <si>
    <t>특수 SME 배제 여부</t>
    <phoneticPr fontId="2" type="noConversion"/>
  </si>
  <si>
    <t>AAS Model 정량적 검토 Checklist</t>
    <phoneticPr fontId="2" type="noConversion"/>
  </si>
  <si>
    <t xml:space="preserve">SME
(Submodel Element) </t>
    <phoneticPr fontId="2" type="noConversion"/>
  </si>
  <si>
    <t>SME 중
Property</t>
    <phoneticPr fontId="2" type="noConversion"/>
  </si>
  <si>
    <t xml:space="preserve">Submodel Elements가 Concept Description과 올바르게 매핑되어 있는지 확인한다 </t>
    <phoneticPr fontId="2" type="noConversion"/>
  </si>
  <si>
    <t>AASX 파일에 Thumbnail 이미지가 포함되어 있으며, AssetInformation의 defaultThumbnail에 동일한 경로가 설정되어 있는지 확인한다.</t>
    <phoneticPr fontId="2" type="noConversion"/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</si>
  <si>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charset val="129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charset val="129"/>
        <scheme val="minor"/>
      </rPr>
      <t xml:space="preserve">
① </t>
    </r>
    <r>
      <rPr>
        <b/>
        <sz val="10"/>
        <color theme="1"/>
        <rFont val="맑은 고딕"/>
        <family val="3"/>
        <charset val="129"/>
        <scheme val="minor"/>
      </rPr>
      <t>Digital Nameplate</t>
    </r>
    <r>
      <rPr>
        <sz val="10"/>
        <color theme="1"/>
        <rFont val="맑은 고딕"/>
        <family val="3"/>
        <charset val="129"/>
        <scheme val="minor"/>
      </rPr>
      <t xml:space="preserve">, ② </t>
    </r>
    <r>
      <rPr>
        <b/>
        <sz val="10"/>
        <color theme="1"/>
        <rFont val="맑은 고딕"/>
        <family val="3"/>
        <charset val="129"/>
      </rPr>
      <t>Handover Documentation,</t>
    </r>
    <r>
      <rPr>
        <sz val="10"/>
        <color theme="1"/>
        <rFont val="맑은 고딕"/>
        <family val="3"/>
        <charset val="129"/>
        <scheme val="minor"/>
      </rPr>
      <t xml:space="preserve">
③ Technical Data, ④ </t>
    </r>
    <r>
      <rPr>
        <sz val="10"/>
        <color theme="1"/>
        <rFont val="맑은 고딕"/>
        <family val="3"/>
        <charset val="129"/>
      </rPr>
      <t>Operational Data</t>
    </r>
    <phoneticPr fontId="2" type="noConversion"/>
  </si>
  <si>
    <t>해당 항목에 대한 definition이 작성되어 있는지 확인한다.
* description이 작성되어 있는 경우도 포함</t>
    <phoneticPr fontId="2" type="noConversion"/>
  </si>
  <si>
    <t>각 항목의 Id 양식을 확인하고, IRDI 형식인지 IRI 형식인지 구분한다.
* IRDI인 경우, 해당 항목이 CDD/Ecl@ss에 존재하여야 한다.
* IRI인 경우, 정해진 양식을 준수하고 있는지 확인한다.</t>
    <phoneticPr fontId="2" type="noConversion"/>
  </si>
  <si>
    <r>
      <t>idShort가 정의된 양식을 준수하고 있는지 확인한다.
※ 예외사항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</rPr>
      <t>Submodel Element List의 하위에 속하는 Submodel Element는 idShort를 작성하지 않아도 되며, 작성하는 경우 명명규칙을 준수하여야 함</t>
    </r>
    <phoneticPr fontId="2" type="noConversion"/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</si>
  <si>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  <charset val="129"/>
      </rPr>
      <t>* administration에 버전 정보를 입력하고 ID 뒷부분 '/version' 과 일치 시킬것</t>
    </r>
    <phoneticPr fontId="2" type="noConversion"/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</si>
  <si>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phoneticPr fontId="2" type="noConversion"/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</si>
  <si>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  <charset val="129"/>
      </rPr>
      <t xml:space="preserve">Capability </t>
    </r>
    <r>
      <rPr>
        <b/>
        <sz val="10"/>
        <color theme="1"/>
        <rFont val="맑은 고딕"/>
        <family val="3"/>
        <charset val="129"/>
        <scheme val="minor"/>
      </rPr>
      <t>엘리먼트가 사용되지 않았는지 확인한다.</t>
    </r>
    <phoneticPr fontId="2" type="noConversion"/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</si>
  <si>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  <charset val="129"/>
      </rPr>
      <t>* DigitalNameplate, HandoverDocumentation 제외</t>
    </r>
    <phoneticPr fontId="2" type="noConversion"/>
  </si>
  <si>
    <t>Concept Description의 dataType이 설정되어 있는지 확인한다
* eCl@ss/CDD에서 dataType이 정의되어 있지 않은 경우는 제외</t>
    <phoneticPr fontId="2" type="noConversion"/>
  </si>
  <si>
    <t>AASX에 Thumbnail.jpg가 포함되어 있으며, defaultThumbnail에도 동일한 경로가 설정되어 있음을 확인함.</t>
    <phoneticPr fontId="2" type="noConversion"/>
  </si>
  <si>
    <t>필수 대상에 idShort가 설정되어 있으며, SML 직접 하위 요소는 허용 기준에 따라 생략됨.</t>
    <phoneticPr fontId="2" type="noConversion"/>
  </si>
  <si>
    <t>idShort가 공백이나 부적절한 특수문자 없이 일관된 영문 명명규칙을 준수함.</t>
    <phoneticPr fontId="2" type="noConversion"/>
  </si>
  <si>
    <t>AAS ID가 ReflowSolderingMachineAAS/1/0 형식의 IRI로 작성되었으며, administration 정보와 일치함.</t>
    <phoneticPr fontId="2" type="noConversion"/>
  </si>
  <si>
    <t>Nameplate, HandoverDocumentation, TechnicalData, OperationalData를 포함한 총 8종의 Submodel로 구성됨.</t>
    <phoneticPr fontId="2" type="noConversion"/>
  </si>
  <si>
    <t>장비 식별을 위한 globalAssetId가 IRI 형식으로 설정되어 있음.</t>
    <phoneticPr fontId="2" type="noConversion"/>
  </si>
  <si>
    <t>AssetInformation의 assetKind가 Type으로 설정되어 있음.</t>
    <phoneticPr fontId="2" type="noConversion"/>
  </si>
  <si>
    <t>적용된 표준 Submodel의 버전 정보가 각 ID 및 semanticId의 버전과 일치함.</t>
    <phoneticPr fontId="2" type="noConversion"/>
  </si>
  <si>
    <t>모든 Submodel ID가 AAS명, Submodel명 및 버전을 포함한 지정 IRI 형식으로 작성됨.</t>
    <phoneticPr fontId="2" type="noConversion"/>
  </si>
  <si>
    <t>모든 Submodel에 semanticId가 설정되어 있으며, 표준 및 자체 정의 모델에 적합한 식별자를 적용함.</t>
    <phoneticPr fontId="2" type="noConversion"/>
  </si>
  <si>
    <t>전체 Submodel의 kind가 Template으로 설정되어 있음.</t>
    <phoneticPr fontId="2" type="noConversion"/>
  </si>
  <si>
    <t>TechnicalData, OperationalData 등 장비 특화 항목이 목적별 SMC와 SML을 활용한 계층 구조로 구성됨.</t>
    <phoneticPr fontId="2" type="noConversion"/>
  </si>
  <si>
    <t>Operation, BasicEventElement 및 Capability 요소가 사용되지 않았음을 확인함.</t>
    <phoneticPr fontId="2" type="noConversion"/>
  </si>
  <si>
    <t>모든 SME에 semanticId가 설정되어 ConceptDescription 또는 표준 의미 식별자와 연결됨.</t>
    <phoneticPr fontId="2" type="noConversion"/>
  </si>
  <si>
    <t>검토 대상 Property에 리플로우 납땜기계의 운전 및 공정 관련 예시 데이터가 누락 없이 입력됨.</t>
    <phoneticPr fontId="2" type="noConversion"/>
  </si>
  <si>
    <t>Property의 valueType이 연결된 ConceptDescription의 데이터 의미와 일치하도록 설정됨.</t>
    <phoneticPr fontId="2" type="noConversion"/>
  </si>
  <si>
    <t>전체 ConceptDescription에 해당 항목의 의미를 설명하는 definition 또는 description이 작성되어 있음.</t>
    <phoneticPr fontId="2" type="noConversion"/>
  </si>
  <si>
    <t>dataType이 정의된 ConceptDescription에는 해당 값이 설정되어 있으며, 표준에서 미정의된 항목은 예외 기준을 적용함.</t>
    <phoneticPr fontId="2" type="noConversion"/>
  </si>
  <si>
    <t>2026-10-29 최종 AASX 기준 재검증
SHA-256 6394731e081faa784927a6f0426f563ba22d56a2dba585cf3cee776c79f02ed1
자동검사 71개: 70 Passed / 1 Failed(cd_id). SDK 중복 언어 3개 별도.
UtcTime 공식 의미식별자 보존. 불필요한 보강 로컬 CD 4개 제거와 구분.
수동 예외 근거와 자동 통과를 구분하며 예외 수용은 검토자 확인 대상.</t>
  </si>
  <si>
    <t>자체 체크리스트 19항목: 18 충족·1 불충족(CD ID 형식). 자동검사 71개: 70 Passed·1 Failed. 공식 IRI 수동 예외는 별도 확인.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</si>
</sst>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Arial Unicode MS"/>
      <family val="3"/>
      <charset val="129"/>
    </font>
    <font>
      <b/>
      <strike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rgb="FFC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69">
    <xf numFmtId="0" fontId="0" fillId="0" borderId="0" xfId="0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8" fillId="2" borderId="2" xfId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8" fillId="0" borderId="0" xfId="0" quotePrefix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6" fillId="0" borderId="2" xfId="0" applyFont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6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6" fillId="0" borderId="2" xfId="0" quotePrefix="1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0" borderId="2" xfId="0" applyFont="1" applyBorder="1" applyAlignment="1">
      <alignment horizontal="center" vertical="center"/>
    </xf>
    <xf numFmtId="0" fontId="11" fillId="0" borderId="2" xfId="0" quotePrefix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5" fillId="0" borderId="6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49" fontId="4" fillId="0" borderId="6" xfId="0" quotePrefix="1" applyNumberFormat="1" applyFont="1" applyBorder="1" applyAlignment="1">
      <alignment horizontal="left" vertical="center" wrapText="1"/>
    </xf>
    <xf numFmtId="49" fontId="4" fillId="0" borderId="7" xfId="0" quotePrefix="1" applyNumberFormat="1" applyFont="1" applyBorder="1" applyAlignment="1">
      <alignment horizontal="left" vertical="center"/>
    </xf>
    <xf numFmtId="49" fontId="4" fillId="0" borderId="8" xfId="0" quotePrefix="1" applyNumberFormat="1" applyFont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8" fillId="0" borderId="0" xfId="0" applyFont="1" applyAlignment="1">
      <alignment vertical="top" wrapText="1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0000FF"/>
      <color rgb="FFFFFFCC"/>
      <color rgb="FFC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D97-18C1-4F89-9679-A4237428C2F2}">
  <sheetPr codeName="Sheet2"/>
  <dimension ref="A1:K29"/>
  <sheetViews>
    <sheetView showGridLines="0" tabSelected="1" topLeftCell="A7" zoomScale="70" zoomScaleNormal="70" workbookViewId="0">
      <selection activeCell="I18" sqref="I18"/>
    </sheetView>
  </sheetViews>
  <sheetFormatPr defaultColWidth="8.8125" defaultRowHeight="16.899999999999999"/>
  <cols>
    <col min="1" max="1" width="17.5" style="11" bestFit="1" customWidth="1"/>
    <col min="2" max="2" width="4.5" style="11" bestFit="1" customWidth="1"/>
    <col min="3" max="3" width="6.3125" style="11" bestFit="1" customWidth="1"/>
    <col min="4" max="4" width="26.5" style="11" bestFit="1" customWidth="1"/>
    <col min="5" max="5" width="71.3125" style="11" customWidth="1"/>
    <col min="6" max="6" width="10" style="11" customWidth="1"/>
    <col min="7" max="7" width="98.5625" style="27" bestFit="1" customWidth="1"/>
    <col min="8" max="8" width="24" customWidth="1"/>
    <col min="9" max="9" width="107.3125" style="18" customWidth="1"/>
    <col min="10" max="10" width="13" style="20" customWidth="1"/>
    <col min="11" max="11" width="39.5" customWidth="1"/>
  </cols>
  <sheetData>
    <row r="1" spans="1:11" ht="20.65">
      <c r="A1" s="46" t="s">
        <v>65</v>
      </c>
      <c r="B1" s="47"/>
      <c r="C1" s="47"/>
      <c r="D1" s="47"/>
      <c r="E1" s="47"/>
      <c r="F1" s="47"/>
      <c r="G1" s="48"/>
      <c r="I1" s="25"/>
      <c r="K1" s="20"/>
    </row>
    <row r="2" spans="1:11">
      <c r="A2" s="1" t="s">
        <v>2</v>
      </c>
      <c r="B2" s="1" t="s">
        <v>3</v>
      </c>
      <c r="C2" s="1" t="s">
        <v>4</v>
      </c>
      <c r="D2" s="1" t="s">
        <v>5</v>
      </c>
      <c r="E2" s="2" t="s">
        <v>0</v>
      </c>
      <c r="F2" s="2" t="s">
        <v>6</v>
      </c>
      <c r="G2" s="2" t="s">
        <v>44</v>
      </c>
      <c r="K2" s="21"/>
    </row>
    <row r="3" spans="1:11" ht="31.5">
      <c r="A3" s="3" t="s">
        <v>7</v>
      </c>
      <c r="B3" s="4">
        <v>1</v>
      </c>
      <c r="C3" s="4" t="s">
        <v>8</v>
      </c>
      <c r="D3" s="4" t="s">
        <v>9</v>
      </c>
      <c r="E3" s="42" t="s">
        <v>69</v>
      </c>
      <c r="F3" s="15" t="b">
        <v>1</v>
      </c>
      <c r="G3" s="31" t="s">
        <v>79</v>
      </c>
      <c r="K3" s="21"/>
    </row>
    <row r="4" spans="1:11" ht="24" customHeight="1">
      <c r="A4" s="49" t="s">
        <v>58</v>
      </c>
      <c r="B4" s="7">
        <v>2</v>
      </c>
      <c r="C4" s="7" t="s">
        <v>8</v>
      </c>
      <c r="D4" s="7" t="s">
        <v>10</v>
      </c>
      <c r="E4" s="40" t="s">
        <v>11</v>
      </c>
      <c r="F4" s="15" t="b">
        <v>1</v>
      </c>
      <c r="G4" s="31" t="s">
        <v>80</v>
      </c>
      <c r="K4" s="21"/>
    </row>
    <row r="5" spans="1:11" ht="78.75">
      <c r="A5" s="51"/>
      <c r="B5" s="7">
        <v>3</v>
      </c>
      <c r="C5" s="7" t="s">
        <v>8</v>
      </c>
      <c r="D5" s="7" t="s">
        <v>41</v>
      </c>
      <c r="E5" s="40" t="s">
        <v>73</v>
      </c>
      <c r="F5" s="15" t="b">
        <v>1</v>
      </c>
      <c r="G5" s="31" t="s">
        <v>81</v>
      </c>
      <c r="K5" s="21"/>
    </row>
    <row r="6" spans="1:11" ht="63">
      <c r="A6" s="49" t="s">
        <v>45</v>
      </c>
      <c r="B6" s="4">
        <v>4</v>
      </c>
      <c r="C6" s="4" t="s">
        <v>8</v>
      </c>
      <c r="D6" s="4" t="s">
        <v>12</v>
      </c>
      <c r="E6" s="6" t="s">
        <v>74</v>
      </c>
      <c r="F6" s="15" t="b">
        <v>1</v>
      </c>
      <c r="G6" s="26" t="s">
        <v>82</v>
      </c>
      <c r="K6" s="21"/>
    </row>
    <row r="7" spans="1:11" ht="63">
      <c r="A7" s="50"/>
      <c r="B7" s="5">
        <v>5</v>
      </c>
      <c r="C7" s="4" t="s">
        <v>8</v>
      </c>
      <c r="D7" s="4" t="s">
        <v>14</v>
      </c>
      <c r="E7" s="6" t="s">
        <v>70</v>
      </c>
      <c r="F7" s="15" t="b">
        <v>1</v>
      </c>
      <c r="G7" s="32" t="s">
        <v>83</v>
      </c>
      <c r="K7" s="21"/>
    </row>
    <row r="8" spans="1:11" ht="25.05" customHeight="1">
      <c r="A8" s="50"/>
      <c r="B8" s="4">
        <v>6</v>
      </c>
      <c r="C8" s="4" t="s">
        <v>13</v>
      </c>
      <c r="D8" s="4" t="s">
        <v>15</v>
      </c>
      <c r="E8" s="6" t="s">
        <v>16</v>
      </c>
      <c r="F8" s="15" t="b">
        <v>1</v>
      </c>
      <c r="G8" s="32" t="s">
        <v>84</v>
      </c>
      <c r="K8" s="21"/>
    </row>
    <row r="9" spans="1:11" ht="25.05" customHeight="1">
      <c r="A9" s="51"/>
      <c r="B9" s="4">
        <v>7</v>
      </c>
      <c r="C9" s="4" t="s">
        <v>8</v>
      </c>
      <c r="D9" s="4" t="s">
        <v>17</v>
      </c>
      <c r="E9" s="26" t="s">
        <v>42</v>
      </c>
      <c r="F9" s="16" t="b">
        <v>1</v>
      </c>
      <c r="G9" s="32" t="s">
        <v>85</v>
      </c>
      <c r="K9" s="21"/>
    </row>
    <row r="10" spans="1:11" ht="34.049999999999997" customHeight="1">
      <c r="A10" s="49" t="s">
        <v>18</v>
      </c>
      <c r="B10" s="7">
        <v>8</v>
      </c>
      <c r="C10" s="7" t="s">
        <v>8</v>
      </c>
      <c r="D10" s="7" t="s">
        <v>59</v>
      </c>
      <c r="E10" s="41" t="s">
        <v>60</v>
      </c>
      <c r="F10" s="16" t="b">
        <v>1</v>
      </c>
      <c r="G10" s="32" t="s">
        <v>86</v>
      </c>
      <c r="K10" s="21"/>
    </row>
    <row r="11" spans="1:11" ht="63">
      <c r="A11" s="50"/>
      <c r="B11" s="4">
        <v>9</v>
      </c>
      <c r="C11" s="4" t="s">
        <v>8</v>
      </c>
      <c r="D11" s="4" t="s">
        <v>12</v>
      </c>
      <c r="E11" s="6" t="s">
        <v>74</v>
      </c>
      <c r="F11" s="15" t="b">
        <v>1</v>
      </c>
      <c r="G11" s="32" t="s">
        <v>87</v>
      </c>
      <c r="K11" s="23"/>
    </row>
    <row r="12" spans="1:11" ht="31.5">
      <c r="A12" s="50"/>
      <c r="B12" s="5">
        <v>10</v>
      </c>
      <c r="C12" s="4" t="s">
        <v>8</v>
      </c>
      <c r="D12" s="4" t="s">
        <v>19</v>
      </c>
      <c r="E12" s="6" t="s">
        <v>40</v>
      </c>
      <c r="F12" s="15" t="b">
        <v>1</v>
      </c>
      <c r="G12" s="32" t="s">
        <v>88</v>
      </c>
      <c r="I12" s="19"/>
      <c r="J12" s="24"/>
      <c r="K12" s="21"/>
    </row>
    <row r="13" spans="1:11" ht="25.05" customHeight="1">
      <c r="A13" s="50"/>
      <c r="B13" s="4">
        <v>11</v>
      </c>
      <c r="C13" s="4" t="s">
        <v>8</v>
      </c>
      <c r="D13" s="4" t="s">
        <v>20</v>
      </c>
      <c r="E13" s="26" t="s">
        <v>43</v>
      </c>
      <c r="F13" s="16" t="b">
        <v>1</v>
      </c>
      <c r="G13" s="33" t="s">
        <v>89</v>
      </c>
      <c r="K13" s="21"/>
    </row>
    <row r="14" spans="1:11" ht="130.05000000000001" customHeight="1">
      <c r="A14" s="51"/>
      <c r="B14" s="7">
        <v>12</v>
      </c>
      <c r="C14" s="7" t="s">
        <v>13</v>
      </c>
      <c r="D14" s="7" t="s">
        <v>61</v>
      </c>
      <c r="E14" s="41" t="s">
        <v>75</v>
      </c>
      <c r="F14" s="16" t="b">
        <v>1</v>
      </c>
      <c r="G14" s="33" t="s">
        <v>90</v>
      </c>
      <c r="K14" s="21"/>
    </row>
    <row r="15" spans="1:11" ht="31.5">
      <c r="A15" s="55" t="s">
        <v>66</v>
      </c>
      <c r="B15" s="7">
        <v>13</v>
      </c>
      <c r="C15" s="7" t="s">
        <v>13</v>
      </c>
      <c r="D15" s="39" t="s">
        <v>64</v>
      </c>
      <c r="E15" s="40" t="s">
        <v>76</v>
      </c>
      <c r="F15" s="16" t="b">
        <v>1</v>
      </c>
      <c r="G15" s="33" t="s">
        <v>91</v>
      </c>
      <c r="K15" s="21"/>
    </row>
    <row r="16" spans="1:11" ht="26" customHeight="1">
      <c r="A16" s="56"/>
      <c r="B16" s="4">
        <v>14</v>
      </c>
      <c r="C16" s="4" t="s">
        <v>8</v>
      </c>
      <c r="D16" s="4" t="s">
        <v>62</v>
      </c>
      <c r="E16" s="6" t="s">
        <v>68</v>
      </c>
      <c r="F16" s="16" t="b">
        <v>1</v>
      </c>
      <c r="G16" s="33" t="s">
        <v>92</v>
      </c>
      <c r="K16" s="21"/>
    </row>
    <row r="17" spans="1:11" ht="53" customHeight="1">
      <c r="A17" s="55" t="s">
        <v>67</v>
      </c>
      <c r="B17" s="7">
        <v>15</v>
      </c>
      <c r="C17" s="7" t="s">
        <v>8</v>
      </c>
      <c r="D17" s="7" t="s">
        <v>21</v>
      </c>
      <c r="E17" s="40" t="s">
        <v>77</v>
      </c>
      <c r="F17" s="15" t="b">
        <v>1</v>
      </c>
      <c r="G17" s="34" t="s">
        <v>93</v>
      </c>
      <c r="K17" s="21"/>
    </row>
    <row r="18" spans="1:11" ht="37.049999999999997" customHeight="1">
      <c r="A18" s="56"/>
      <c r="B18" s="5">
        <v>16</v>
      </c>
      <c r="C18" s="4" t="s">
        <v>8</v>
      </c>
      <c r="D18" s="8" t="s">
        <v>63</v>
      </c>
      <c r="E18" s="6" t="s">
        <v>56</v>
      </c>
      <c r="F18" s="36" t="b">
        <v>1</v>
      </c>
      <c r="G18" s="38" t="s">
        <v>94</v>
      </c>
      <c r="K18" s="21"/>
    </row>
    <row r="19" spans="1:11" ht="160.05000000000001" customHeight="1">
      <c r="A19" s="49" t="s">
        <v>22</v>
      </c>
      <c r="B19" s="5">
        <v>17</v>
      </c>
      <c r="C19" s="4" t="s">
        <v>8</v>
      </c>
      <c r="D19" s="4" t="s">
        <v>12</v>
      </c>
      <c r="E19" s="6" t="s">
        <v>72</v>
      </c>
      <c r="F19" s="15" t="b">
        <v>0</v>
      </c>
      <c r="G19" s="66" t="s">
        <v>97</v>
      </c>
      <c r="K19" s="21"/>
    </row>
    <row r="20" spans="1:11" ht="53" customHeight="1">
      <c r="A20" s="50"/>
      <c r="B20" s="4">
        <v>18</v>
      </c>
      <c r="C20" s="8" t="s">
        <v>8</v>
      </c>
      <c r="D20" s="4" t="s">
        <v>39</v>
      </c>
      <c r="E20" s="6" t="s">
        <v>71</v>
      </c>
      <c r="F20" s="15" t="b">
        <v>1</v>
      </c>
      <c r="G20" s="33" t="s">
        <v>95</v>
      </c>
      <c r="I20" s="19"/>
      <c r="K20" s="21"/>
    </row>
    <row r="21" spans="1:11" ht="53" customHeight="1">
      <c r="A21" s="51"/>
      <c r="B21" s="5">
        <v>19</v>
      </c>
      <c r="C21" s="8" t="s">
        <v>8</v>
      </c>
      <c r="D21" s="4" t="s">
        <v>57</v>
      </c>
      <c r="E21" s="6" t="s">
        <v>78</v>
      </c>
      <c r="F21" s="15" t="b">
        <v>1</v>
      </c>
      <c r="G21" s="33" t="s">
        <v>96</v>
      </c>
      <c r="I21" s="19"/>
      <c r="K21" s="21"/>
    </row>
    <row r="22" spans="1:11" ht="52.05" customHeight="1">
      <c r="A22" s="3" t="s">
        <v>1</v>
      </c>
      <c r="B22" s="52" t="s">
        <v>55</v>
      </c>
      <c r="C22" s="53"/>
      <c r="D22" s="53"/>
      <c r="E22" s="53"/>
      <c r="F22" s="53"/>
      <c r="G22" s="54"/>
      <c r="I22" s="19"/>
      <c r="K22" s="21"/>
    </row>
    <row r="23" spans="1:11">
      <c r="A23" s="3" t="s">
        <v>30</v>
      </c>
      <c r="B23" s="35">
        <v>19</v>
      </c>
      <c r="C23" s="43"/>
      <c r="D23" s="44"/>
      <c r="E23" s="44"/>
      <c r="F23" s="44"/>
      <c r="G23" s="45"/>
      <c r="K23" s="21"/>
    </row>
    <row r="24" spans="1:11">
      <c r="B24" s="11" t="s">
        <v>54</v>
      </c>
      <c r="K24" s="21"/>
    </row>
    <row r="25" spans="1:11">
      <c r="K25" s="21"/>
    </row>
    <row r="26" spans="1:11">
      <c r="K26" s="22"/>
    </row>
    <row r="29" spans="1:11">
      <c r="H29" s="11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" type="noConversion"/>
  <printOptions headings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FA8-2B62-4A0D-A4D5-EAC8DD1FB7DB}">
  <sheetPr codeName="Sheet3"/>
  <dimension ref="A1:J15"/>
  <sheetViews>
    <sheetView zoomScale="130" zoomScaleNormal="130" workbookViewId="0">
      <selection activeCell="G28" sqref="G28"/>
    </sheetView>
  </sheetViews>
  <sheetFormatPr defaultColWidth="8.8125" defaultRowHeight="16.899999999999999"/>
  <cols>
    <col min="1" max="4" width="9" style="10"/>
    <col min="5" max="6" width="15" style="10" customWidth="1"/>
    <col min="7" max="7" width="17" style="10" customWidth="1"/>
    <col min="8" max="8" width="21.3125" style="10" customWidth="1"/>
    <col min="9" max="9" width="28.5" bestFit="1" customWidth="1"/>
  </cols>
  <sheetData>
    <row r="1" spans="1:10" ht="20.65">
      <c r="A1" s="58" t="s">
        <v>32</v>
      </c>
      <c r="B1" s="59"/>
      <c r="C1" s="59"/>
      <c r="D1" s="59"/>
      <c r="E1" s="59"/>
      <c r="F1" s="59"/>
      <c r="G1" s="59"/>
      <c r="H1" s="59"/>
      <c r="I1" s="59"/>
      <c r="J1" s="17"/>
    </row>
    <row r="2" spans="1:10">
      <c r="A2" s="60" t="s">
        <v>24</v>
      </c>
      <c r="B2" s="60"/>
      <c r="C2" s="60"/>
      <c r="D2" s="60"/>
      <c r="E2" s="1" t="s">
        <v>25</v>
      </c>
      <c r="F2" s="2" t="s">
        <v>26</v>
      </c>
      <c r="G2" s="1" t="s">
        <v>27</v>
      </c>
      <c r="H2" s="1" t="s">
        <v>28</v>
      </c>
      <c r="I2" s="1" t="s">
        <v>1</v>
      </c>
    </row>
    <row r="3" spans="1:10">
      <c r="A3" s="62" t="s">
        <v>29</v>
      </c>
      <c r="B3" s="62"/>
      <c r="C3" s="62"/>
      <c r="D3" s="62"/>
      <c r="E3" s="64" t="s">
        <v>34</v>
      </c>
      <c r="F3" s="65"/>
      <c r="G3" s="9">
        <f>COUNTIF('AAS Model Checklist'!F3:F21, TRUE)</f>
        <v>18</v>
      </c>
      <c r="H3" s="9">
        <f>ROUND(G3/G5, 3) * 100</f>
        <v>94.699999999999989</v>
      </c>
      <c r="I3" s="29" t="s">
        <v>48</v>
      </c>
    </row>
    <row r="4" spans="1:10">
      <c r="A4" s="62"/>
      <c r="B4" s="62"/>
      <c r="C4" s="62"/>
      <c r="D4" s="62"/>
      <c r="E4" s="64" t="s">
        <v>33</v>
      </c>
      <c r="F4" s="65"/>
      <c r="G4" s="37">
        <f>'AAS Model Checklist'!B23 - G3</f>
        <v>1</v>
      </c>
      <c r="H4" s="9">
        <f>ROUND(G4/G5, 3) * 100</f>
        <v>5.3</v>
      </c>
      <c r="I4" s="29" t="s">
        <v>47</v>
      </c>
    </row>
    <row r="5" spans="1:10">
      <c r="A5" s="62"/>
      <c r="B5" s="62"/>
      <c r="C5" s="62"/>
      <c r="D5" s="62"/>
      <c r="E5" s="12" t="s">
        <v>30</v>
      </c>
      <c r="F5" s="13" t="s">
        <v>23</v>
      </c>
      <c r="G5" s="12">
        <f>SUM(G3:G4)</f>
        <v>19</v>
      </c>
      <c r="H5" s="12">
        <f>SUM(H3:H4)</f>
        <v>99.999999999999986</v>
      </c>
      <c r="I5" s="30" t="s">
        <v>53</v>
      </c>
    </row>
    <row r="6" spans="1:10">
      <c r="A6" s="63" t="s">
        <v>31</v>
      </c>
      <c r="B6" s="63"/>
      <c r="C6" s="63"/>
      <c r="D6" s="63"/>
      <c r="E6" s="61" t="s">
        <v>8</v>
      </c>
      <c r="F6" s="9" t="s">
        <v>35</v>
      </c>
      <c r="G6" s="9">
        <f>COUNTIFS('AAS Model Checklist'!C3:C21, "필수", 'AAS Model Checklist'!F3:F21, TRUE)</f>
        <v>15</v>
      </c>
      <c r="H6" s="9">
        <f>ROUND(G6/G10, 3) * 100</f>
        <v>78.900000000000006</v>
      </c>
      <c r="I6" s="29" t="s">
        <v>49</v>
      </c>
    </row>
    <row r="7" spans="1:10">
      <c r="A7" s="63"/>
      <c r="B7" s="63"/>
      <c r="C7" s="63"/>
      <c r="D7" s="63"/>
      <c r="E7" s="61"/>
      <c r="F7" s="9" t="s">
        <v>36</v>
      </c>
      <c r="G7" s="9">
        <f>COUNTIFS('AAS Model Checklist'!C3:C21, "필수", 'AAS Model Checklist'!F3:F21, FALSE)</f>
        <v>1</v>
      </c>
      <c r="H7" s="9">
        <f>ROUND(G7/G10, 3) * 100</f>
        <v>5.3</v>
      </c>
      <c r="I7" s="29" t="s">
        <v>50</v>
      </c>
    </row>
    <row r="8" spans="1:10">
      <c r="A8" s="63"/>
      <c r="B8" s="63"/>
      <c r="C8" s="63"/>
      <c r="D8" s="63"/>
      <c r="E8" s="61" t="s">
        <v>13</v>
      </c>
      <c r="F8" s="9" t="s">
        <v>37</v>
      </c>
      <c r="G8" s="9">
        <f>COUNTIFS('AAS Model Checklist'!C3:C21, "옵션", 'AAS Model Checklist'!F3:F21, TRUE)</f>
        <v>3</v>
      </c>
      <c r="H8" s="9">
        <f>ROUND(G8/G10, 3) * 100</f>
        <v>15.8</v>
      </c>
      <c r="I8" s="29" t="s">
        <v>51</v>
      </c>
    </row>
    <row r="9" spans="1:10">
      <c r="A9" s="63"/>
      <c r="B9" s="63"/>
      <c r="C9" s="63"/>
      <c r="D9" s="63"/>
      <c r="E9" s="61"/>
      <c r="F9" s="9" t="s">
        <v>38</v>
      </c>
      <c r="G9" s="9">
        <f>COUNTIFS('AAS Model Checklist'!C3:C21, "옵션", 'AAS Model Checklist'!F3:F21, FALSE)</f>
        <v>0</v>
      </c>
      <c r="H9" s="9">
        <f>ROUND(G9/G10, 3) * 100</f>
        <v>0</v>
      </c>
      <c r="I9" s="29" t="s">
        <v>52</v>
      </c>
    </row>
    <row r="10" spans="1:10">
      <c r="A10" s="63"/>
      <c r="B10" s="63"/>
      <c r="C10" s="63"/>
      <c r="D10" s="63"/>
      <c r="E10" s="12" t="s">
        <v>30</v>
      </c>
      <c r="F10" s="14" t="s">
        <v>23</v>
      </c>
      <c r="G10" s="12">
        <f>SUM(G6:G9)</f>
        <v>19</v>
      </c>
      <c r="H10" s="12">
        <f>SUM(H6:H9)</f>
        <v>100</v>
      </c>
      <c r="I10" s="30" t="s">
        <v>53</v>
      </c>
    </row>
    <row r="12" spans="1:10">
      <c r="A12" s="57" t="s">
        <v>46</v>
      </c>
      <c r="B12" s="57"/>
      <c r="C12" s="57"/>
      <c r="D12" s="57"/>
      <c r="E12" s="57"/>
      <c r="F12" s="57"/>
      <c r="G12" s="57"/>
      <c r="H12" s="57"/>
      <c r="I12" s="57"/>
    </row>
    <row r="13" spans="1:10">
      <c r="B13" s="28"/>
    </row>
    <row r="14" spans="1:10" ht="52.05" customHeight="1">
      <c r="A14" s="67" t="s">
        <v>98</v>
      </c>
      <c r="B14" s="68"/>
      <c r="C14" s="68"/>
      <c r="D14" s="68"/>
      <c r="E14" s="68"/>
      <c r="F14" s="68"/>
      <c r="G14" s="68"/>
      <c r="H14" s="68"/>
      <c r="I14" s="67"/>
      <c r="J14" s="67"/>
    </row>
    <row r="15" spans="1:10">
      <c r="A15" s="68"/>
      <c r="B15" s="68"/>
      <c r="C15" s="68"/>
      <c r="D15" s="68"/>
      <c r="E15" s="68"/>
      <c r="F15" s="68"/>
      <c r="G15" s="68"/>
      <c r="H15" s="68"/>
      <c r="I15" s="67"/>
      <c r="J15" s="67"/>
    </row>
  </sheetData>
  <mergeCells count="10">
    <mergeCell ref="A14:J15"/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AAS Model Checklist</vt:lpstr>
      <vt:lpstr>AAS Model Checklist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배태겸</dc:creator>
  <cp:lastModifiedBy>익제 김</cp:lastModifiedBy>
  <cp:lastPrinted>2025-02-14T07:07:43Z</cp:lastPrinted>
  <dcterms:created xsi:type="dcterms:W3CDTF">2025-02-14T06:46:23Z</dcterms:created>
  <dcterms:modified xsi:type="dcterms:W3CDTF">2026-10-29T04:58:18Z</dcterms:modified>
</cp:coreProperties>
</file>