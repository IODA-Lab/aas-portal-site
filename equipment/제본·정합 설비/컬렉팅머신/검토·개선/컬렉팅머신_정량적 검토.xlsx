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제출 산출물\컬렉팅머신\"/>
    </mc:Choice>
  </mc:AlternateContent>
  <xr:revisionPtr revIDLastSave="0" documentId="13_ncr:1_{5206A2BA-6B58-4D75-9984-703E0812B4A2}" xr6:coauthVersionLast="47" xr6:coauthVersionMax="47" xr10:uidLastSave="{00000000-0000-0000-0000-000000000000}"/>
  <bookViews>
    <workbookView xWindow="43080" yWindow="5745" windowWidth="29040" windowHeight="15720" activeTab="1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<sst xmlns="http://schemas.openxmlformats.org/spreadsheetml/2006/main" count="137" uniqueCount="104">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</sst>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9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8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zoomScale="55" zoomScaleNormal="55" workbookViewId="0">
      <selection activeCell="C10" sqref="C10"/>
    </sheetView>
  </sheetViews>
  <sheetFormatPr defaultColWidth="8.8125" defaultRowHeight="16.899999999999999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8125" customWidth="1"/>
    <col min="6" max="6" width="8.8125" style="20" customWidth="1"/>
  </cols>
  <sheetData>
    <row r="1" spans="1:6" ht="20.65">
      <c r="A1" s="54" t="s">
        <v>39</v>
      </c>
      <c r="B1" s="55"/>
      <c r="C1" s="55"/>
      <c r="D1" s="56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57" t="s">
        <v>0</v>
      </c>
      <c r="B3" s="67" t="s">
        <v>84</v>
      </c>
      <c r="C3" s="68"/>
      <c r="D3" s="46" t="e" vm="1">
        <v>#VALUE!</v>
      </c>
    </row>
    <row r="4" spans="1:6" ht="51" customHeight="1">
      <c r="A4" s="58"/>
      <c r="B4" s="4" t="s">
        <v>14</v>
      </c>
      <c r="C4" s="6" t="s">
        <v>40</v>
      </c>
      <c r="D4" s="9"/>
    </row>
    <row r="5" spans="1:6" ht="78" customHeight="1">
      <c r="A5" s="58"/>
      <c r="B5" s="10" t="s">
        <v>28</v>
      </c>
      <c r="C5" s="6" t="s">
        <v>75</v>
      </c>
      <c r="D5" s="9"/>
    </row>
    <row r="6" spans="1:6" ht="330.75">
      <c r="A6" s="58"/>
      <c r="B6" s="4" t="s">
        <v>29</v>
      </c>
      <c r="C6" s="6" t="s">
        <v>101</v>
      </c>
      <c r="D6" s="4"/>
      <c r="F6" s="21"/>
    </row>
    <row r="7" spans="1:6" ht="182.55" customHeight="1">
      <c r="A7" s="59"/>
      <c r="B7" s="9" t="s">
        <v>88</v>
      </c>
      <c r="C7" s="45" t="s">
        <v>102</v>
      </c>
      <c r="D7" s="11" t="e" vm="2">
        <v>#VALUE!</v>
      </c>
      <c r="F7" s="21"/>
    </row>
    <row r="8" spans="1:6" ht="110.25">
      <c r="A8" s="65" t="s">
        <v>59</v>
      </c>
      <c r="B8" s="4" t="s">
        <v>11</v>
      </c>
      <c r="C8" s="7" t="s">
        <v>103</v>
      </c>
      <c r="D8" s="4"/>
    </row>
    <row r="9" spans="1:6" ht="61.5" customHeight="1">
      <c r="A9" s="66"/>
      <c r="B9" s="4" t="s">
        <v>13</v>
      </c>
      <c r="C9" s="6" t="s">
        <v>74</v>
      </c>
      <c r="D9" s="4"/>
    </row>
    <row r="10" spans="1:6" ht="110.25">
      <c r="A10" s="66"/>
      <c r="B10" s="4" t="s">
        <v>16</v>
      </c>
      <c r="C10" s="47" t="s">
        <v>89</v>
      </c>
      <c r="D10" s="4"/>
    </row>
    <row r="11" spans="1:6" ht="283.5">
      <c r="A11" s="66"/>
      <c r="B11" s="4" t="s">
        <v>69</v>
      </c>
      <c r="C11" s="41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topLeftCell="A11" zoomScale="115" zoomScaleNormal="115" workbookViewId="0">
      <selection activeCell="F14" sqref="F14"/>
    </sheetView>
  </sheetViews>
  <sheetFormatPr defaultColWidth="8.8125" defaultRowHeight="16.899999999999999"/>
  <cols>
    <col min="1" max="1" width="17.5" style="13" bestFit="1" customWidth="1"/>
    <col min="2" max="2" width="4.5" style="13" bestFit="1" customWidth="1"/>
    <col min="3" max="3" width="6.3125" style="13" bestFit="1" customWidth="1"/>
    <col min="4" max="4" width="26.5" style="13" bestFit="1" customWidth="1"/>
    <col min="5" max="5" width="71.3125" style="13" customWidth="1"/>
    <col min="6" max="6" width="10" style="13" customWidth="1"/>
    <col min="7" max="7" width="75.5" style="32" customWidth="1"/>
    <col min="8" max="8" width="24" customWidth="1"/>
    <col min="9" max="9" width="107.3125" style="22" customWidth="1"/>
    <col min="10" max="10" width="13" style="24" customWidth="1"/>
    <col min="11" max="11" width="39.5" customWidth="1"/>
  </cols>
  <sheetData>
    <row r="1" spans="1:11" ht="20.65">
      <c r="A1" s="54" t="s">
        <v>83</v>
      </c>
      <c r="B1" s="55"/>
      <c r="C1" s="55"/>
      <c r="D1" s="55"/>
      <c r="E1" s="55"/>
      <c r="F1" s="55"/>
      <c r="G1" s="56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31.5">
      <c r="A3" s="3" t="s">
        <v>8</v>
      </c>
      <c r="B3" s="4">
        <v>1</v>
      </c>
      <c r="C3" s="4" t="s">
        <v>9</v>
      </c>
      <c r="D3" s="4" t="s">
        <v>10</v>
      </c>
      <c r="E3" s="50" t="s">
        <v>91</v>
      </c>
      <c r="F3" s="17" t="b">
        <v>1</v>
      </c>
      <c r="G3" s="36"/>
      <c r="K3" s="25"/>
    </row>
    <row r="4" spans="1:11" ht="24" customHeight="1">
      <c r="A4" s="57" t="s">
        <v>76</v>
      </c>
      <c r="B4" s="9">
        <v>2</v>
      </c>
      <c r="C4" s="9" t="s">
        <v>9</v>
      </c>
      <c r="D4" s="9" t="s">
        <v>11</v>
      </c>
      <c r="E4" s="48" t="s">
        <v>12</v>
      </c>
      <c r="F4" s="17" t="b">
        <v>1</v>
      </c>
      <c r="G4" s="36"/>
      <c r="K4" s="25"/>
    </row>
    <row r="5" spans="1:11" ht="78.75">
      <c r="A5" s="59"/>
      <c r="B5" s="9">
        <v>3</v>
      </c>
      <c r="C5" s="9" t="s">
        <v>9</v>
      </c>
      <c r="D5" s="9" t="s">
        <v>55</v>
      </c>
      <c r="E5" s="48" t="s">
        <v>95</v>
      </c>
      <c r="F5" s="17" t="b">
        <v>1</v>
      </c>
      <c r="G5" s="36"/>
      <c r="K5" s="25"/>
    </row>
    <row r="6" spans="1:11" ht="63">
      <c r="A6" s="57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31"/>
      <c r="K6" s="25"/>
    </row>
    <row r="7" spans="1:11" ht="63">
      <c r="A7" s="58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37"/>
      <c r="K7" s="25"/>
    </row>
    <row r="8" spans="1:11" ht="25.05" customHeight="1">
      <c r="A8" s="58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37"/>
      <c r="K8" s="25"/>
    </row>
    <row r="9" spans="1:11" ht="25.05" customHeight="1">
      <c r="A9" s="59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37"/>
      <c r="K9" s="25"/>
    </row>
    <row r="10" spans="1:11" ht="34.049999999999997" customHeight="1">
      <c r="A10" s="57" t="s">
        <v>21</v>
      </c>
      <c r="B10" s="9">
        <v>8</v>
      </c>
      <c r="C10" s="9" t="s">
        <v>9</v>
      </c>
      <c r="D10" s="9" t="s">
        <v>77</v>
      </c>
      <c r="E10" s="49" t="s">
        <v>78</v>
      </c>
      <c r="F10" s="18" t="b">
        <v>1</v>
      </c>
      <c r="G10" s="37"/>
      <c r="K10" s="25"/>
    </row>
    <row r="11" spans="1:11" ht="63">
      <c r="A11" s="58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37"/>
      <c r="K11" s="27"/>
    </row>
    <row r="12" spans="1:11" ht="31.5">
      <c r="A12" s="58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37"/>
      <c r="I12" s="23"/>
      <c r="J12" s="28"/>
      <c r="K12" s="25"/>
    </row>
    <row r="13" spans="1:11" ht="25.05" customHeight="1">
      <c r="A13" s="58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38"/>
      <c r="K13" s="25"/>
    </row>
    <row r="14" spans="1:11" ht="130.05000000000001" customHeight="1">
      <c r="A14" s="59"/>
      <c r="B14" s="9">
        <v>12</v>
      </c>
      <c r="C14" s="9" t="s">
        <v>15</v>
      </c>
      <c r="D14" s="9" t="s">
        <v>79</v>
      </c>
      <c r="E14" s="49" t="s">
        <v>97</v>
      </c>
      <c r="F14" s="18" t="b">
        <v>1</v>
      </c>
      <c r="G14" s="38"/>
      <c r="K14" s="25"/>
    </row>
    <row r="15" spans="1:11" ht="31.5">
      <c r="A15" s="63" t="s">
        <v>85</v>
      </c>
      <c r="B15" s="9">
        <v>13</v>
      </c>
      <c r="C15" s="9" t="s">
        <v>15</v>
      </c>
      <c r="D15" s="46" t="s">
        <v>82</v>
      </c>
      <c r="E15" s="48" t="s">
        <v>98</v>
      </c>
      <c r="F15" s="18" t="b">
        <v>1</v>
      </c>
      <c r="G15" s="38"/>
      <c r="K15" s="25"/>
    </row>
    <row r="16" spans="1:11" ht="26" customHeight="1">
      <c r="A16" s="64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38"/>
      <c r="K16" s="25"/>
    </row>
    <row r="17" spans="1:11" ht="53" customHeight="1">
      <c r="A17" s="63" t="s">
        <v>86</v>
      </c>
      <c r="B17" s="9">
        <v>15</v>
      </c>
      <c r="C17" s="9" t="s">
        <v>9</v>
      </c>
      <c r="D17" s="9" t="s">
        <v>24</v>
      </c>
      <c r="E17" s="48" t="s">
        <v>99</v>
      </c>
      <c r="F17" s="17" t="b">
        <v>1</v>
      </c>
      <c r="G17" s="39"/>
      <c r="K17" s="25"/>
    </row>
    <row r="18" spans="1:11" ht="37.049999999999997" customHeight="1">
      <c r="A18" s="64"/>
      <c r="B18" s="5">
        <v>16</v>
      </c>
      <c r="C18" s="4" t="s">
        <v>9</v>
      </c>
      <c r="D18" s="10" t="s">
        <v>81</v>
      </c>
      <c r="E18" s="6" t="s">
        <v>72</v>
      </c>
      <c r="F18" s="42" t="b">
        <v>1</v>
      </c>
      <c r="G18" s="44"/>
      <c r="K18" s="25"/>
    </row>
    <row r="19" spans="1:11" ht="69" customHeight="1">
      <c r="A19" s="57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31"/>
      <c r="K19" s="25"/>
    </row>
    <row r="20" spans="1:11" ht="53" customHeight="1">
      <c r="A20" s="58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38"/>
      <c r="I20" s="23"/>
      <c r="K20" s="25"/>
    </row>
    <row r="21" spans="1:11" ht="53" customHeight="1">
      <c r="A21" s="59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38"/>
      <c r="I21" s="23"/>
      <c r="K21" s="25"/>
    </row>
    <row r="22" spans="1:11" ht="52.05" customHeight="1">
      <c r="A22" s="3" t="s">
        <v>2</v>
      </c>
      <c r="B22" s="60" t="s">
        <v>71</v>
      </c>
      <c r="C22" s="61"/>
      <c r="D22" s="61"/>
      <c r="E22" s="61"/>
      <c r="F22" s="61"/>
      <c r="G22" s="62"/>
      <c r="I22" s="23"/>
      <c r="K22" s="25"/>
    </row>
    <row r="23" spans="1:11">
      <c r="A23" s="3" t="s">
        <v>36</v>
      </c>
      <c r="B23" s="40">
        <v>19</v>
      </c>
      <c r="C23" s="51"/>
      <c r="D23" s="52"/>
      <c r="E23" s="52"/>
      <c r="F23" s="52"/>
      <c r="G23" s="53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125" defaultRowHeight="16.899999999999999"/>
  <cols>
    <col min="1" max="4" width="9" style="12"/>
    <col min="5" max="6" width="15" style="12" customWidth="1"/>
    <col min="7" max="7" width="17" style="12" customWidth="1"/>
    <col min="8" max="8" width="21.3125" style="12" customWidth="1"/>
    <col min="9" max="9" width="28.5" bestFit="1" customWidth="1"/>
  </cols>
  <sheetData>
    <row r="1" spans="1:10" ht="20.65">
      <c r="A1" s="70" t="s">
        <v>38</v>
      </c>
      <c r="B1" s="71"/>
      <c r="C1" s="71"/>
      <c r="D1" s="71"/>
      <c r="E1" s="71"/>
      <c r="F1" s="71"/>
      <c r="G1" s="71"/>
      <c r="H1" s="71"/>
      <c r="I1" s="71"/>
      <c r="J1" s="19"/>
    </row>
    <row r="2" spans="1:10">
      <c r="A2" s="72" t="s">
        <v>30</v>
      </c>
      <c r="B2" s="72"/>
      <c r="C2" s="72"/>
      <c r="D2" s="72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66" t="s">
        <v>35</v>
      </c>
      <c r="B3" s="66"/>
      <c r="C3" s="66"/>
      <c r="D3" s="66"/>
      <c r="E3" s="75" t="s">
        <v>42</v>
      </c>
      <c r="F3" s="76"/>
      <c r="G3" s="11">
        <f>COUNTIF('AAS Model Checklist'!F3:F21, TRUE)</f>
        <v>19</v>
      </c>
      <c r="H3" s="11">
        <f>ROUND(G3/G5, 3) * 100</f>
        <v>100</v>
      </c>
      <c r="I3" s="34" t="s">
        <v>63</v>
      </c>
    </row>
    <row r="4" spans="1:10">
      <c r="A4" s="66"/>
      <c r="B4" s="66"/>
      <c r="C4" s="66"/>
      <c r="D4" s="66"/>
      <c r="E4" s="75" t="s">
        <v>41</v>
      </c>
      <c r="F4" s="76"/>
      <c r="G4" s="43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66"/>
      <c r="B5" s="66"/>
      <c r="C5" s="66"/>
      <c r="D5" s="66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74" t="s">
        <v>37</v>
      </c>
      <c r="B6" s="74"/>
      <c r="C6" s="74"/>
      <c r="D6" s="74"/>
      <c r="E6" s="73" t="s">
        <v>9</v>
      </c>
      <c r="F6" s="11" t="s">
        <v>43</v>
      </c>
      <c r="G6" s="11">
        <f>COUNTIFS('AAS Model Checklist'!C3:C21, "필수", 'AAS Model Checklist'!F3:F21, TRUE)</f>
        <v>16</v>
      </c>
      <c r="H6" s="11">
        <f>ROUND(G6/G10, 3) * 100</f>
        <v>84.2</v>
      </c>
      <c r="I6" s="34" t="s">
        <v>64</v>
      </c>
    </row>
    <row r="7" spans="1:10">
      <c r="A7" s="74"/>
      <c r="B7" s="74"/>
      <c r="C7" s="74"/>
      <c r="D7" s="74"/>
      <c r="E7" s="73"/>
      <c r="F7" s="11" t="s">
        <v>44</v>
      </c>
      <c r="G7" s="11">
        <f>COUNTIFS('AAS Model Checklist'!C3:C21, "필수", 'AAS Model Checklist'!F3:F21, FALSE)</f>
        <v>0</v>
      </c>
      <c r="H7" s="11">
        <f>ROUND(G7/G10, 3) * 100</f>
        <v>0</v>
      </c>
      <c r="I7" s="34" t="s">
        <v>65</v>
      </c>
    </row>
    <row r="8" spans="1:10">
      <c r="A8" s="74"/>
      <c r="B8" s="74"/>
      <c r="C8" s="74"/>
      <c r="D8" s="74"/>
      <c r="E8" s="73" t="s">
        <v>15</v>
      </c>
      <c r="F8" s="11" t="s">
        <v>45</v>
      </c>
      <c r="G8" s="11">
        <f>COUNTIFS('AAS Model Checklist'!C3:C21, "옵션", 'AAS Model Checklist'!F3:F21, TRUE)</f>
        <v>3</v>
      </c>
      <c r="H8" s="11">
        <f>ROUND(G8/G10, 3) * 100</f>
        <v>15.8</v>
      </c>
      <c r="I8" s="34" t="s">
        <v>66</v>
      </c>
    </row>
    <row r="9" spans="1:10">
      <c r="A9" s="74"/>
      <c r="B9" s="74"/>
      <c r="C9" s="74"/>
      <c r="D9" s="74"/>
      <c r="E9" s="73"/>
      <c r="F9" s="11" t="s">
        <v>46</v>
      </c>
      <c r="G9" s="11">
        <f>COUNTIFS('AAS Model Checklist'!C3:C21, "옵션", 'AAS Model Checklist'!F3:F21, FALSE)</f>
        <v>0</v>
      </c>
      <c r="H9" s="11">
        <f>ROUND(G9/G10, 3) * 100</f>
        <v>0</v>
      </c>
      <c r="I9" s="34" t="s">
        <v>67</v>
      </c>
    </row>
    <row r="10" spans="1:10">
      <c r="A10" s="74"/>
      <c r="B10" s="74"/>
      <c r="C10" s="74"/>
      <c r="D10" s="74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69" t="s">
        <v>61</v>
      </c>
      <c r="B12" s="69"/>
      <c r="C12" s="69"/>
      <c r="D12" s="69"/>
      <c r="E12" s="69"/>
      <c r="F12" s="69"/>
      <c r="G12" s="69"/>
      <c r="H12" s="69"/>
      <c r="I12" s="69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16"/>
  <sheetViews>
    <sheetView zoomScale="85" zoomScaleNormal="85" workbookViewId="0">
      <selection activeCell="B4" sqref="B4:F4"/>
    </sheetView>
  </sheetViews>
  <sheetFormatPr defaultColWidth="8.8125" defaultRowHeight="16.899999999999999"/>
  <cols>
    <col min="1" max="1" width="17.5" customWidth="1"/>
    <col min="2" max="2" width="14.3125" customWidth="1"/>
    <col min="3" max="3" width="13" customWidth="1"/>
    <col min="4" max="4" width="25.5" customWidth="1"/>
    <col min="5" max="5" width="11.5" customWidth="1"/>
    <col min="6" max="6" width="24.3125" customWidth="1"/>
  </cols>
  <sheetData>
    <row r="1" spans="1:6" ht="32.25" customHeight="1">
      <c r="A1" s="82" t="s">
        <v>48</v>
      </c>
      <c r="B1" s="83"/>
      <c r="C1" s="83"/>
      <c r="D1" s="83"/>
      <c r="E1" s="83"/>
      <c r="F1" s="83"/>
    </row>
    <row r="2" spans="1:6">
      <c r="A2" s="84" t="s">
        <v>50</v>
      </c>
      <c r="B2" s="78"/>
      <c r="C2" s="84" t="s">
        <v>49</v>
      </c>
      <c r="D2" s="85"/>
      <c r="E2" s="87" t="s">
        <v>51</v>
      </c>
      <c r="F2" s="85"/>
    </row>
    <row r="3" spans="1:6">
      <c r="A3" s="84"/>
      <c r="B3" s="78"/>
      <c r="C3" s="84"/>
      <c r="D3" s="86"/>
      <c r="E3" s="88"/>
      <c r="F3" s="86"/>
    </row>
    <row r="4" spans="1:6" ht="232.5" customHeight="1">
      <c r="A4" s="30" t="s">
        <v>52</v>
      </c>
      <c r="B4" s="79"/>
      <c r="C4" s="78"/>
      <c r="D4" s="78"/>
      <c r="E4" s="78"/>
      <c r="F4" s="78"/>
    </row>
    <row r="5" spans="1:6" ht="31.5" customHeight="1">
      <c r="A5" s="30" t="s">
        <v>53</v>
      </c>
      <c r="B5" s="78"/>
      <c r="C5" s="78"/>
      <c r="D5" s="78"/>
      <c r="E5" s="78"/>
      <c r="F5" s="78"/>
    </row>
    <row r="6" spans="1:6" ht="108" customHeight="1">
      <c r="A6" s="30" t="s">
        <v>2</v>
      </c>
      <c r="B6" s="80"/>
      <c r="C6" s="81"/>
      <c r="D6" s="81"/>
      <c r="E6" s="81"/>
      <c r="F6" s="81"/>
    </row>
    <row r="16" spans="1:6">
      <c r="A16" s="77"/>
      <c r="B16" s="77"/>
      <c r="C16" s="77"/>
      <c r="D16" s="77"/>
      <c r="E16" s="77"/>
      <c r="F16" s="77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지형 김</cp:lastModifiedBy>
  <cp:lastPrinted>2025-02-14T07:07:43Z</cp:lastPrinted>
  <dcterms:created xsi:type="dcterms:W3CDTF">2025-02-14T06:46:23Z</dcterms:created>
  <dcterms:modified xsi:type="dcterms:W3CDTF">2026-10-29T09:59:27Z</dcterms:modified>
</cp:coreProperties>
</file>