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현재_통합_문서" defaultThemeVersion="202300"/>
  <mc:AlternateContent xmlns:mc="http://schemas.openxmlformats.org/markup-compatibility/2006">
    <mc:Choice Requires="x15">
      <x15ac:absPath xmlns:x15ac="http://schemas.microsoft.com/office/spreadsheetml/2010/11/ac" url="C:\Users\IODA\Desktop\오주현\AAS\aas 담당 장비 최종 제출용\스트레쳐\최종제출\"/>
    </mc:Choice>
  </mc:AlternateContent>
  <xr:revisionPtr revIDLastSave="0" documentId="13_ncr:1_{43973911-D014-457D-BDF6-1DB8AF125D86}" xr6:coauthVersionLast="47" xr6:coauthVersionMax="47" xr10:uidLastSave="{00000000-0000-0000-0000-000000000000}"/>
  <bookViews>
    <workbookView xWindow="28680" yWindow="-120" windowWidth="29040" windowHeight="15720" activeTab="3" xr2:uid="{5D672DD9-5B8D-4463-AED7-35C87E05FECA}"/>
  </bookViews>
  <sheets>
    <sheet name="AAS Model Checklist Information" sheetId="1" r:id="rId1"/>
    <sheet name="AAS Model Checklist" sheetId="2" r:id="rId2"/>
    <sheet name="AAS Model Checklist Result" sheetId="3" r:id="rId3"/>
    <sheet name="Additional Consideration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3" l="1"/>
  <c r="G8" i="3"/>
  <c r="G7" i="3"/>
  <c r="G6" i="3"/>
  <c r="G3" i="3"/>
  <c r="G4" i="3" s="1"/>
  <c r="G5" i="3" l="1"/>
  <c r="G10" i="3"/>
  <c r="H4" i="3" l="1"/>
  <c r="H3" i="3"/>
  <c r="H8" i="3"/>
  <c r="H9" i="3"/>
  <c r="H6" i="3"/>
  <c r="H7" i="3"/>
  <c r="H5" i="3" l="1"/>
  <c r="H10"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<sst xmlns="http://schemas.openxmlformats.org/spreadsheetml/2006/main" count="162" uniqueCount="129">
  <si>
    <t>기본정보</t>
    <phoneticPr fontId="2" type="noConversion"/>
  </si>
  <si>
    <t>설명</t>
    <phoneticPr fontId="2" type="noConversion"/>
  </si>
  <si>
    <t>비고</t>
    <phoneticPr fontId="2" type="noConversion"/>
  </si>
  <si>
    <t>분류(대상)</t>
    <phoneticPr fontId="2" type="noConversion"/>
  </si>
  <si>
    <t>번호</t>
    <phoneticPr fontId="2" type="noConversion"/>
  </si>
  <si>
    <t>중요도</t>
    <phoneticPr fontId="2" type="noConversion"/>
  </si>
  <si>
    <t>체크사항</t>
    <phoneticPr fontId="2" type="noConversion"/>
  </si>
  <si>
    <t>체크</t>
    <phoneticPr fontId="2" type="noConversion"/>
  </si>
  <si>
    <t>기본사항</t>
    <phoneticPr fontId="2" type="noConversion"/>
  </si>
  <si>
    <t>필수</t>
    <phoneticPr fontId="2" type="noConversion"/>
  </si>
  <si>
    <t>Thumnail</t>
    <phoneticPr fontId="2" type="noConversion"/>
  </si>
  <si>
    <t>idShort 설정여부</t>
    <phoneticPr fontId="2" type="noConversion"/>
  </si>
  <si>
    <t>idShort가 설정되어 있는지 확인한다.</t>
    <phoneticPr fontId="2" type="noConversion"/>
  </si>
  <si>
    <t>Id</t>
    <phoneticPr fontId="2" type="noConversion"/>
  </si>
  <si>
    <t>Id 버전</t>
    <phoneticPr fontId="2" type="noConversion"/>
  </si>
  <si>
    <t>옵션</t>
    <phoneticPr fontId="2" type="noConversion"/>
  </si>
  <si>
    <t>description 또는 definition 여부</t>
    <phoneticPr fontId="2" type="noConversion"/>
  </si>
  <si>
    <t>Submodel 구성</t>
    <phoneticPr fontId="2" type="noConversion"/>
  </si>
  <si>
    <t>globalAssetId 여부</t>
    <phoneticPr fontId="2" type="noConversion"/>
  </si>
  <si>
    <t>globalAssetId가 설정되어 있는지 확인한다.</t>
    <phoneticPr fontId="2" type="noConversion"/>
  </si>
  <si>
    <t>Type종류</t>
    <phoneticPr fontId="2" type="noConversion"/>
  </si>
  <si>
    <t>Submodel</t>
    <phoneticPr fontId="2" type="noConversion"/>
  </si>
  <si>
    <t>Semantic ID</t>
    <phoneticPr fontId="2" type="noConversion"/>
  </si>
  <si>
    <t>kind</t>
    <phoneticPr fontId="2" type="noConversion"/>
  </si>
  <si>
    <t>value 값 여부</t>
    <phoneticPr fontId="2" type="noConversion"/>
  </si>
  <si>
    <t>ConceptDescription</t>
    <phoneticPr fontId="2" type="noConversion"/>
  </si>
  <si>
    <t>-</t>
    <phoneticPr fontId="2" type="noConversion"/>
  </si>
  <si>
    <t>정보</t>
    <phoneticPr fontId="2" type="noConversion"/>
  </si>
  <si>
    <t>IRDI 관련 내용</t>
    <phoneticPr fontId="2" type="noConversion"/>
  </si>
  <si>
    <t>IRI 양식</t>
    <phoneticPr fontId="2" type="noConversion"/>
  </si>
  <si>
    <t>분류</t>
    <phoneticPr fontId="2" type="noConversion"/>
  </si>
  <si>
    <t>기준항목</t>
    <phoneticPr fontId="2" type="noConversion"/>
  </si>
  <si>
    <t>세부항목</t>
    <phoneticPr fontId="2" type="noConversion"/>
  </si>
  <si>
    <t>개수</t>
    <phoneticPr fontId="2" type="noConversion"/>
  </si>
  <si>
    <t>%</t>
    <phoneticPr fontId="2" type="noConversion"/>
  </si>
  <si>
    <t>단순통계</t>
    <phoneticPr fontId="2" type="noConversion"/>
  </si>
  <si>
    <t>합계</t>
    <phoneticPr fontId="2" type="noConversion"/>
  </si>
  <si>
    <t>'중요도'기준 통계</t>
    <phoneticPr fontId="2" type="noConversion"/>
  </si>
  <si>
    <t>AAS Model Checklist Result</t>
    <phoneticPr fontId="2" type="noConversion"/>
  </si>
  <si>
    <t>AAS Model Checklist Information</t>
    <phoneticPr fontId="2" type="noConversion"/>
  </si>
  <si>
    <t>AAS 모델링시 참조한 표준 및 근거자료에 대한 버전을 확인한다.
예시) CDD 버전, eCl@ss 버전, ETIM 버전 등</t>
    <phoneticPr fontId="2" type="noConversion"/>
  </si>
  <si>
    <t></t>
    <phoneticPr fontId="2" type="noConversion"/>
  </si>
  <si>
    <t></t>
    <phoneticPr fontId="2" type="noConversion"/>
  </si>
  <si>
    <r>
      <t xml:space="preserve">"필수" 中 </t>
    </r>
    <r>
      <rPr>
        <sz val="10"/>
        <color theme="1"/>
        <rFont val="Wingdings"/>
        <family val="2"/>
        <charset val="2"/>
      </rPr>
      <t></t>
    </r>
    <phoneticPr fontId="2" type="noConversion"/>
  </si>
  <si>
    <r>
      <t xml:space="preserve">"필수" 中 </t>
    </r>
    <r>
      <rPr>
        <sz val="10"/>
        <color theme="1"/>
        <rFont val="Wingdings"/>
        <family val="2"/>
        <charset val="2"/>
      </rPr>
      <t></t>
    </r>
    <phoneticPr fontId="2" type="noConversion"/>
  </si>
  <si>
    <r>
      <t xml:space="preserve">"옵션" 中 </t>
    </r>
    <r>
      <rPr>
        <sz val="10"/>
        <color theme="1"/>
        <rFont val="Wingdings"/>
        <family val="2"/>
        <charset val="2"/>
      </rPr>
      <t></t>
    </r>
    <phoneticPr fontId="2" type="noConversion"/>
  </si>
  <si>
    <r>
      <t xml:space="preserve">"옵션" 中 </t>
    </r>
    <r>
      <rPr>
        <sz val="10"/>
        <color theme="1"/>
        <rFont val="Wingdings"/>
        <family val="2"/>
        <charset val="2"/>
      </rPr>
      <t></t>
    </r>
    <phoneticPr fontId="2" type="noConversion"/>
  </si>
  <si>
    <t>definition 여부</t>
    <phoneticPr fontId="2" type="noConversion"/>
  </si>
  <si>
    <t>추가 검토사항</t>
    <phoneticPr fontId="2" type="noConversion"/>
  </si>
  <si>
    <t>2. 소속</t>
    <phoneticPr fontId="2" type="noConversion"/>
  </si>
  <si>
    <t>1. 검토자</t>
    <phoneticPr fontId="2" type="noConversion"/>
  </si>
  <si>
    <t>3. 검토일</t>
    <phoneticPr fontId="2" type="noConversion"/>
  </si>
  <si>
    <t>4. 검토사항</t>
    <phoneticPr fontId="2" type="noConversion"/>
  </si>
  <si>
    <t>5. 기타사항</t>
    <phoneticPr fontId="2" type="noConversion"/>
  </si>
  <si>
    <r>
      <t xml:space="preserve">Semantic ID가 작성되어 있는지 확인한다. 
</t>
    </r>
    <r>
      <rPr>
        <sz val="10"/>
        <color theme="1"/>
        <rFont val="맑은 고딕"/>
        <family val="3"/>
        <charset val="129"/>
      </rPr>
      <t>표준 서브모델이 아닌 경우, 적절한 형식의 IRI 식별자인지 확인한다.</t>
    </r>
    <phoneticPr fontId="2" type="noConversion"/>
  </si>
  <si>
    <t>idShort 명명규칙</t>
    <phoneticPr fontId="2" type="noConversion"/>
  </si>
  <si>
    <t>'kind'가 'Type'으로 지정되어 있는지 확인한다.</t>
    <phoneticPr fontId="2" type="noConversion"/>
  </si>
  <si>
    <t>'kind'가 'Template'으로 지정되어 있는지 확인한다</t>
    <phoneticPr fontId="2" type="noConversion"/>
  </si>
  <si>
    <t>비고 (검토의견)</t>
    <phoneticPr fontId="2" type="noConversion"/>
  </si>
  <si>
    <t>체크리스트
참조/공통체크사항</t>
    <phoneticPr fontId="2" type="noConversion"/>
  </si>
  <si>
    <t>AAS</t>
    <phoneticPr fontId="2" type="noConversion"/>
  </si>
  <si>
    <t>※ "AAS Model Checklist" sheet에서 각 체크사항에 대해 충족/불충족 항목들에 대한 개수를 정리한 시트입니다.</t>
    <phoneticPr fontId="2" type="noConversion"/>
  </si>
  <si>
    <t>체크사항 불충족 항목</t>
    <phoneticPr fontId="2" type="noConversion"/>
  </si>
  <si>
    <t>체크사항 충족 항목</t>
    <phoneticPr fontId="2" type="noConversion"/>
  </si>
  <si>
    <t>필수 체크사항 충족 항목</t>
    <phoneticPr fontId="2" type="noConversion"/>
  </si>
  <si>
    <t>필수 체크사항 불충족 항목</t>
    <phoneticPr fontId="2" type="noConversion"/>
  </si>
  <si>
    <t>옵션 체크사항 충족 항목</t>
    <phoneticPr fontId="2" type="noConversion"/>
  </si>
  <si>
    <t>옵션 체크사항 불충족 항목</t>
    <phoneticPr fontId="2" type="noConversion"/>
  </si>
  <si>
    <t>총 체크사항</t>
    <phoneticPr fontId="2" type="noConversion"/>
  </si>
  <si>
    <t>기타</t>
    <phoneticPr fontId="2" type="noConversion"/>
  </si>
  <si>
    <t>\</t>
    <phoneticPr fontId="2" type="noConversion"/>
  </si>
  <si>
    <t>- IDTA가 배포한 서브모델 내부에 자체적으로 포함되어 있는 오류에 대해서는 수정하지 않아야 한다.
- Ecl@ss, CDD에서 정의되어 있지 않은 definition은 자체적으로 정의하지 않고 그대로 사용하여야 한다.
- Property의 완성도 및 충실도에 대한 정성적 평가를 진행한다. 즉, 본 체크리스트를 통해 정량적으로 평가하지는 않지만, 이후 전문가들에 의해 Property 개수, Property 의미 등이 정성적으로 평가될 예정이다.</t>
    <phoneticPr fontId="2" type="noConversion"/>
  </si>
  <si>
    <t>valueType이 설정되어야 하며, 
연결된 Concept Description의 dataType과 매칭되는 데이터 타입으로 설정되어야 한다</t>
    <phoneticPr fontId="2" type="noConversion"/>
  </si>
  <si>
    <t>dataType 설정여부</t>
    <phoneticPr fontId="2" type="noConversion"/>
  </si>
  <si>
    <t>각 항목의 Id 양식을 확인하고, IRDI 형식인지 IRI 형식인지 구분한다.
IRDI인 경우, 해당 항목이 CDD/Ecl@ss에 존재하여야 한다.
IRI인 경우, 정해진 양식을 준수하고 있는지 확인한다.</t>
    <phoneticPr fontId="2" type="noConversion"/>
  </si>
  <si>
    <t xml:space="preserve">작성하려는 항목의 IRDI가 CDD/eCl@ss에 존재하여야 하며, CDD/eCl@ss에 정의된 내용과 모두 일치해야만 CDD/eCl@ss에서 정의된 Semantic Id를 사용할 수 있다.
(예: 단위, 데이터 타입 등이 일부라도 일치하지 않으면 사용할 수 없다) </t>
    <phoneticPr fontId="2" type="noConversion"/>
  </si>
  <si>
    <t>공통</t>
    <phoneticPr fontId="2" type="noConversion"/>
  </si>
  <si>
    <t>최신 Version 여부</t>
    <phoneticPr fontId="2" type="noConversion"/>
  </si>
  <si>
    <t>IDTA 서브모델 템플릿을 활용하는 경우, 최신 버전의 템플릿을 사용하고 있는지 확인한다.</t>
    <phoneticPr fontId="2" type="noConversion"/>
  </si>
  <si>
    <t>계층 세분화</t>
    <phoneticPr fontId="2" type="noConversion"/>
  </si>
  <si>
    <t>Concept Description 매핑여부</t>
    <phoneticPr fontId="2" type="noConversion"/>
  </si>
  <si>
    <t>Concept Description과 
data type 매칭여부</t>
    <phoneticPr fontId="2" type="noConversion"/>
  </si>
  <si>
    <t>특수 SME 배제 여부</t>
    <phoneticPr fontId="2" type="noConversion"/>
  </si>
  <si>
    <t>AAS Model 정량적 검토 Checklist</t>
    <phoneticPr fontId="2" type="noConversion"/>
  </si>
  <si>
    <t>* 본 체크리스트는 2026년 중소기업벤처부 과제공고 기준을 대상으로 제작하였습니다.</t>
    <phoneticPr fontId="2" type="noConversion"/>
  </si>
  <si>
    <t xml:space="preserve">SME
(Submodel Element) </t>
    <phoneticPr fontId="2" type="noConversion"/>
  </si>
  <si>
    <t>SME 중
Property</t>
    <phoneticPr fontId="2" type="noConversion"/>
  </si>
  <si>
    <t xml:space="preserve">Submodel Elements가 Concept Description과 올바르게 매핑되어 있는지 확인한다 </t>
    <phoneticPr fontId="2" type="noConversion"/>
  </si>
  <si>
    <t>장비특화 Submodel 구성</t>
    <phoneticPr fontId="2" type="noConversion"/>
  </si>
  <si>
    <t>해당 항목에 대한 description 또는 definition이 작성되어 있는지 확인한다.
모든 서브모델 엘리먼트는 시맨틱 정보를 정의하는 정상적인 Concept Description(CD)을 가져야 함 
정상적인 CD란 Preferred Name, Definition를 필수 포함하고, 선택적으로 적절한 DataType, Unit이 포함되어야 함 
단, Definition의 경우 영문으로 작성된 정의는 반드시 포함되어야 함</t>
    <phoneticPr fontId="2" type="noConversion"/>
  </si>
  <si>
    <r>
      <t xml:space="preserve">① IDTA가 배포한 서브모델 내부에 자체적으로 포함되어 있는 오류에 대해서는 수정하지 않아야 한다.
예시) IRDI 2개 포함, definition 미작성 등 
② Ecl@ss, CDD에서 정의되어 있지 않은 definition은 자체적으로 정의하지 않고 그대로 사용하여야 한다.
</t>
    </r>
    <r>
      <rPr>
        <sz val="10"/>
        <color theme="1"/>
        <rFont val="맑은 고딕"/>
        <family val="3"/>
        <charset val="129"/>
      </rPr>
      <t>③ Property의 완성도 및 충실도에 대한 정성적 평가를 진행한다. 즉, 본 체크리스트를 통해 정량적으로 평가하지는 않지만, 이후 전문가들에 의해 Property 개수, Property 의미 등이 정성적으로 평가될 예정이다.</t>
    </r>
    <r>
      <rPr>
        <sz val="10"/>
        <color theme="1"/>
        <rFont val="맑은 고딕"/>
        <family val="3"/>
        <charset val="129"/>
        <scheme val="minor"/>
      </rPr>
      <t xml:space="preserve">
</t>
    </r>
    <r>
      <rPr>
        <b/>
        <sz val="10"/>
        <color theme="1"/>
        <rFont val="맑은 고딕"/>
        <family val="3"/>
        <charset val="129"/>
      </rPr>
      <t>④ Technical Data, Operational Data 서브모델 포함(단, Digital Nameplate, Handover Documentation 서브모델 제외) "설비/장비의 특징을 반영하는" 최소 4개 서브모델에 대해서는, 장비 특화 추가 프로퍼티 항목에 대한 value example을  참조모델 및 활용 가이던스 문서에 제시해야 한다.</t>
    </r>
    <r>
      <rPr>
        <sz val="10"/>
        <color theme="1"/>
        <rFont val="맑은 고딕"/>
        <family val="3"/>
        <charset val="129"/>
      </rPr>
      <t xml:space="preserve">
</t>
    </r>
    <r>
      <rPr>
        <sz val="10"/>
        <color theme="1"/>
        <rFont val="맑은 고딕"/>
        <family val="2"/>
        <charset val="129"/>
      </rPr>
      <t>⑤ 모</t>
    </r>
    <r>
      <rPr>
        <sz val="10"/>
        <color theme="1"/>
        <rFont val="맑은 고딕"/>
        <family val="3"/>
        <charset val="129"/>
      </rPr>
      <t>델 제출 시에는 "「AAS 제조데이터 표준 참조모델 사전 검증 보고서」 작성 요령"에 따라 사전 검증보고서를 제출하여야 한다.</t>
    </r>
    <phoneticPr fontId="2" type="noConversion"/>
  </si>
  <si>
    <t>AASX 파일에 Thumbnail 이미지가 포함되어 있으며, AssetInformation의 defaultThumbnail에 동일한 경로가 설정되어 있는지 확인한다.</t>
    <phoneticPr fontId="2" type="noConversion"/>
  </si>
  <si>
    <r>
      <t>AAS 모델링에서 필수적인 성격을 지닌 아래의 4가지 Submodel이 포함되어 있으며</t>
    </r>
    <r>
      <rPr>
        <b/>
        <sz val="10"/>
        <color theme="1"/>
        <rFont val="맑은 고딕"/>
        <family val="3"/>
        <charset val="129"/>
        <scheme val="minor"/>
      </rPr>
      <t xml:space="preserve"> 총 6종 이상 8종 이하의 Submodel로 구성되어 있는지 확인한다.</t>
    </r>
    <r>
      <rPr>
        <sz val="10"/>
        <color theme="1"/>
        <rFont val="맑은 고딕"/>
        <family val="3"/>
        <charset val="129"/>
        <scheme val="minor"/>
      </rPr>
      <t xml:space="preserve">
① </t>
    </r>
    <r>
      <rPr>
        <b/>
        <sz val="10"/>
        <color theme="1"/>
        <rFont val="맑은 고딕"/>
        <family val="3"/>
        <charset val="129"/>
        <scheme val="minor"/>
      </rPr>
      <t>Digital Nameplate</t>
    </r>
    <r>
      <rPr>
        <sz val="10"/>
        <color theme="1"/>
        <rFont val="맑은 고딕"/>
        <family val="3"/>
        <charset val="129"/>
        <scheme val="minor"/>
      </rPr>
      <t xml:space="preserve">, ② </t>
    </r>
    <r>
      <rPr>
        <b/>
        <sz val="10"/>
        <color theme="1"/>
        <rFont val="맑은 고딕"/>
        <family val="3"/>
        <charset val="129"/>
      </rPr>
      <t>Handover Documentation,</t>
    </r>
    <r>
      <rPr>
        <sz val="10"/>
        <color theme="1"/>
        <rFont val="맑은 고딕"/>
        <family val="3"/>
        <charset val="129"/>
        <scheme val="minor"/>
      </rPr>
      <t xml:space="preserve">
③ Technical Data, ④ </t>
    </r>
    <r>
      <rPr>
        <sz val="10"/>
        <color theme="1"/>
        <rFont val="맑은 고딕"/>
        <family val="3"/>
        <charset val="129"/>
      </rPr>
      <t>Operational Data</t>
    </r>
    <phoneticPr fontId="2" type="noConversion"/>
  </si>
  <si>
    <t>해당 항목에 대한 definition이 작성되어 있는지 확인한다.
* description이 작성되어 있는 경우도 포함</t>
    <phoneticPr fontId="2" type="noConversion"/>
  </si>
  <si>
    <t>각 항목의 Id 양식을 확인하고, IRDI 형식인지 IRI 형식인지 구분한다.
* IRDI인 경우, 해당 항목이 CDD/Ecl@ss에 존재하여야 한다.
* IRI인 경우, 정해진 양식을 준수하고 있는지 확인한다.</t>
    <phoneticPr fontId="2" type="noConversion"/>
  </si>
  <si>
    <r>
      <t>idShort가 정의된 양식을 준수하고 있는지 확인한다.
※ 예외사항</t>
    </r>
    <r>
      <rPr>
        <b/>
        <strike/>
        <sz val="10"/>
        <color theme="1"/>
        <rFont val="맑은 고딕"/>
        <family val="3"/>
        <charset val="129"/>
        <scheme val="minor"/>
      </rPr>
      <t xml:space="preserve">
</t>
    </r>
    <r>
      <rPr>
        <b/>
        <sz val="10"/>
        <color rgb="FFFF0000"/>
        <rFont val="맑은 고딕"/>
        <family val="3"/>
        <charset val="129"/>
      </rPr>
      <t>Submodel Element List의 하위에 속하는 Submodel Element는 idShort를 작성하지 않아도 되며, 작성하는 경우 명명규칙을 준수하여야 함</t>
    </r>
    <phoneticPr fontId="2" type="noConversion"/>
  </si>
  <si>
    <r>
      <t xml:space="preserve">각 항목의 Id 양식을 확인하고, IRDI 형식인지 IRI 형식인지 구분한다.
IRI인 경우, 정해진 양식을 준수하고 있는지 확인한다.
</t>
    </r>
    <r>
      <rPr>
        <b/>
        <sz val="10"/>
        <color rgb="FFFF0000"/>
        <rFont val="맑은 고딕"/>
        <family val="3"/>
        <charset val="129"/>
      </rPr>
      <t>* administration에 버전 정보를 입력하고 ID 뒷부분 '/version' 과 일치 시킬것</t>
    </r>
    <phoneticPr fontId="2" type="noConversion"/>
  </si>
  <si>
    <r>
      <t xml:space="preserve">장비 특화 프로퍼티를 포함하는 서브모델이 2단계 이상의 계층 세분화가 되었는지 확인한다.
※ 예외사항
* IDTA 기본 템플릿은 계층 세분화에서 제외하며, Technical Data 서브모델의 경우 표준 구조 이외 세분화가 2단계 이상이어야 한다.
</t>
    </r>
    <r>
      <rPr>
        <b/>
        <sz val="10"/>
        <color rgb="FFFF0000"/>
        <rFont val="맑은 고딕"/>
        <family val="3"/>
        <charset val="129"/>
      </rPr>
      <t>* 각 계층과 컬렉션은 명확한 분류 목적을 가져야 하며, 별도의 모델링 근거 없이 단순히 하위 요소만을 포함하는 중간 SMC는 계층 세분화 요건을 충족하지 않은 것으로 판단함.</t>
    </r>
    <phoneticPr fontId="2" type="noConversion"/>
  </si>
  <si>
    <r>
      <t xml:space="preserve">AAS 참조모델 개발 시 사용을 지양하는 Operation, BasicEventElement, </t>
    </r>
    <r>
      <rPr>
        <b/>
        <sz val="10"/>
        <color rgb="FFFF0000"/>
        <rFont val="맑은 고딕"/>
        <family val="3"/>
        <charset val="129"/>
      </rPr>
      <t xml:space="preserve">Capability </t>
    </r>
    <r>
      <rPr>
        <b/>
        <sz val="10"/>
        <color theme="1"/>
        <rFont val="맑은 고딕"/>
        <family val="3"/>
        <charset val="129"/>
        <scheme val="minor"/>
      </rPr>
      <t>엘리먼트가 사용되지 않았는지 확인한다.</t>
    </r>
    <phoneticPr fontId="2" type="noConversion"/>
  </si>
  <si>
    <r>
      <t xml:space="preserve">value값에 Example Data가 기입 되었는지 확인한다. 
</t>
    </r>
    <r>
      <rPr>
        <b/>
        <sz val="10"/>
        <color rgb="FFFF0000"/>
        <rFont val="맑은 고딕"/>
        <family val="3"/>
        <charset val="129"/>
      </rPr>
      <t>* DigitalNameplate, HandoverDocumentation 제외</t>
    </r>
    <phoneticPr fontId="2" type="noConversion"/>
  </si>
  <si>
    <t>Concept Description의 dataType이 설정되어 있는지 확인한다
* eCl@ss/CDD에서 dataType이 정의되어 있지 않은 경우는 제외</t>
    <phoneticPr fontId="2" type="noConversion"/>
  </si>
  <si>
    <r>
      <t xml:space="preserve">
구조 : 
- Submodel: </t>
    </r>
    <r>
      <rPr>
        <u/>
        <sz val="10"/>
        <color theme="1"/>
        <rFont val="맑은 고딕"/>
        <family val="3"/>
        <charset val="129"/>
      </rPr>
      <t xml:space="preserve">KOSMO 홈페이지주소/ids/sm/AAS명/Submodel명/version
</t>
    </r>
    <r>
      <rPr>
        <sz val="10"/>
        <color theme="1"/>
        <rFont val="맑은 고딕"/>
        <family val="3"/>
        <charset val="129"/>
        <scheme val="minor"/>
      </rPr>
      <t xml:space="preserve">예시) https://www.smart-factory.kr/ids/sm/ACB/TechnicalData/1/0
- Submodel 외 항목: </t>
    </r>
    <r>
      <rPr>
        <u/>
        <sz val="10"/>
        <color theme="1"/>
        <rFont val="맑은 고딕"/>
        <family val="3"/>
        <charset val="129"/>
        <scheme val="minor"/>
      </rPr>
      <t xml:space="preserve">KOSMO 홈페이지주소/ids/카테고리/변수명/version
</t>
    </r>
    <r>
      <rPr>
        <sz val="10"/>
        <color theme="1"/>
        <rFont val="맑은 고딕"/>
        <family val="3"/>
        <charset val="129"/>
        <scheme val="minor"/>
      </rPr>
      <t xml:space="preserve">예시) https://www.smart-factory.kr/ids/cd/TypeOfActuator/1/0
       https://www.smart-factory.kr/ids/aas/ACB/1/0
</t>
    </r>
    <r>
      <rPr>
        <sz val="10"/>
        <color theme="1"/>
        <rFont val="맑은 고딕"/>
        <family val="3"/>
        <charset val="129"/>
      </rPr>
      <t xml:space="preserve">* IDTA 표준 서브모델 템플릿을 사용한 경우에는 IRI를 변경하지 않고, 그대로 사용해야 한다. 단, 서브모델의 Id는 IDTA에서 정의한 IRI가 있더라도 중기부에서 정의한 구조를 사용해야 한다.
</t>
    </r>
    <r>
      <rPr>
        <b/>
        <sz val="10"/>
        <color rgb="FFFF0000"/>
        <rFont val="맑은 고딕"/>
        <family val="2"/>
        <charset val="129"/>
      </rPr>
      <t>* AAS와 Submodel에 한하여 administration에 버전 정보를 입력하고 ID 뒷부분 '/version' 과 일치 시킬것</t>
    </r>
    <r>
      <rPr>
        <sz val="10"/>
        <color theme="1"/>
        <rFont val="맑은 고딕"/>
        <family val="3"/>
        <charset val="129"/>
      </rPr>
      <t xml:space="preserve">
</t>
    </r>
    <r>
      <rPr>
        <sz val="10"/>
        <color theme="1"/>
        <rFont val="맑은 고딕"/>
        <family val="3"/>
        <charset val="129"/>
        <scheme val="minor"/>
      </rPr>
      <t xml:space="preserve">
* 용어설명
sm: Submodel
cd : ConceptDescription
aas : AAS
        </t>
    </r>
    <phoneticPr fontId="2" type="noConversion"/>
  </si>
  <si>
    <r>
      <rPr>
        <b/>
        <sz val="10"/>
        <color theme="1"/>
        <rFont val="맑은 고딕"/>
        <family val="3"/>
        <charset val="129"/>
        <scheme val="minor"/>
      </rPr>
      <t xml:space="preserve">Technical Data 및 Operational Data를 포함한 장비특화 서브모델에서 Property를 추가할 경우 2단계 이상의 계층 세분화가 되어야 한다.
* Technical Data 서브모델 세분화는 IDTA 표준 구조 이후 장비특화 계층이 2단계 이상이어야 한다
</t>
    </r>
    <r>
      <rPr>
        <b/>
        <sz val="10"/>
        <color rgb="FFFF0000"/>
        <rFont val="맑은 고딕"/>
        <family val="3"/>
        <charset val="129"/>
      </rPr>
      <t>* 각 계층과 컬렉션은 명확한 분류 목적을 가져야 하며, 별도의 모델링 근거 없이 단순히 하위 요소만을 포함하는 중간 SMC는 계층 세분화 요건을 충족하지 않은 것으로 판단함.</t>
    </r>
    <r>
      <rPr>
        <b/>
        <sz val="10"/>
        <color rgb="FF0070C0"/>
        <rFont val="맑은 고딕"/>
        <family val="2"/>
        <charset val="129"/>
        <scheme val="minor"/>
      </rPr>
      <t xml:space="preserve">
</t>
    </r>
    <phoneticPr fontId="2" type="noConversion"/>
  </si>
  <si>
    <r>
      <t>idShort가 설정되어 있는지 확인한다.
* Naming rule/Convention (권고사항)
① 공백, 특수문</t>
    </r>
    <r>
      <rPr>
        <sz val="10"/>
        <color theme="1"/>
        <rFont val="맑은 고딕"/>
        <family val="3"/>
        <charset val="129"/>
        <scheme val="minor"/>
      </rPr>
      <t xml:space="preserve">자(‘_’, underbar, </t>
    </r>
    <r>
      <rPr>
        <sz val="10"/>
        <color rgb="FFFF0000"/>
        <rFont val="맑은 고딕"/>
        <family val="3"/>
        <charset val="129"/>
      </rPr>
      <t xml:space="preserve">‘-‘, hyphen </t>
    </r>
    <r>
      <rPr>
        <sz val="10"/>
        <color theme="1"/>
        <rFont val="맑은 고딕"/>
        <family val="3"/>
        <charset val="129"/>
        <scheme val="minor"/>
      </rPr>
      <t>제외)를</t>
    </r>
    <r>
      <rPr>
        <sz val="10"/>
        <color rgb="FF000000"/>
        <rFont val="맑은 고딕"/>
        <family val="3"/>
        <charset val="129"/>
        <scheme val="minor"/>
      </rPr>
      <t xml:space="preserve"> 포함하지 않음
② 일관된 표기법 사용 / 예) 모든 단어를 띄어쓰기 없이 대문자로 시작
예시) "Rated voltage" -&gt; "RatedVoltage" 또는 "Rated_Voltage" 등등</t>
    </r>
    <phoneticPr fontId="2" type="noConversion"/>
  </si>
  <si>
    <t>스트레쳐 대표 이미지가 포함되어 있으며 defaultThumbnail 경로와 일치함.</t>
    <phoneticPr fontId="2" type="noConversion"/>
  </si>
  <si>
    <t>모든 필수 항목에 idShort가 설정되어 있음. 단, SML 하위 요소는 허용 예외 적용.</t>
    <phoneticPr fontId="2" type="noConversion"/>
  </si>
  <si>
    <t>영문 대문자 시작 및 공백·금지 특수문자 없이 명명규칙을 준수함.</t>
  </si>
  <si>
    <t>AAS ID가 규정된 IRI 형식이며 administration 버전 1/0과 일치함.</t>
    <phoneticPr fontId="2" type="noConversion"/>
  </si>
  <si>
    <t>필수 4종을 포함하여 총 8종의 서브모델로 구성됨.</t>
    <phoneticPr fontId="2" type="noConversion"/>
  </si>
  <si>
    <t>적용한 IDTA 서브모델이 최신 공개 버전 기준으로 구성되어 있음.</t>
  </si>
  <si>
    <t>스트레쳐 장비명이 포함된 고유한 globalAssetId가 설정되어 있음.</t>
    <phoneticPr fontId="2" type="noConversion"/>
  </si>
  <si>
    <t>AssetInformation의 assetKind가 Type으로 설정되어 있음.</t>
    <phoneticPr fontId="2" type="noConversion"/>
  </si>
  <si>
    <t>모든 서브모델 ID가 규정된 IRI 형식이며 administration 버전과 일치함.</t>
    <phoneticPr fontId="2" type="noConversion"/>
  </si>
  <si>
    <t>모든 서브모델에 Semantic ID가 설정되어 있으며 표준·자체정의 식별자를 구분하여 적용함.</t>
    <phoneticPr fontId="2" type="noConversion"/>
  </si>
  <si>
    <t>8개 서브모델의 kind가 모두 Template으로 설정되어 있음.</t>
  </si>
  <si>
    <t>장비 특화 항목이 기능별 SMC/SML 구조로 2단계 이상 세분화되어 있음.</t>
  </si>
  <si>
    <t>Operation, BasicEventElement, Capability 항목을 사용하지 않음.</t>
  </si>
  <si>
    <t>모든 자체정의 SME가 Concept Description과 매핑되어 있으며 IDTA 공식 외부 Semantic ID는 표준 참조로 적용함.</t>
  </si>
  <si>
    <t>Nameplate와 HandoverDocumentation을 제외한 Property에 Example Data가 입력되어 있음.</t>
    <phoneticPr fontId="2" type="noConversion"/>
  </si>
  <si>
    <t>Property의 valueType이 연결된 Concept Description의 dataType과 일치함.</t>
  </si>
  <si>
    <t>eClass/CDD IRDI와 KOSMO 형식의 자체정의 IRI를 구분하여 적절하게 적용함.</t>
    <phoneticPr fontId="2" type="noConversion"/>
  </si>
  <si>
    <t>Concept Description에 definition 또는 description이 작성되어 있음.</t>
    <phoneticPr fontId="2" type="noConversion"/>
  </si>
  <si>
    <t>dataType 정의 대상 Concept Description에 dataType이 설정되어 있음.</t>
    <phoneticPr fontId="2" type="noConversion"/>
  </si>
  <si>
    <t>오주현</t>
    <phoneticPr fontId="2" type="noConversion"/>
  </si>
  <si>
    <t>한양대학교</t>
    <phoneticPr fontId="2" type="noConversion"/>
  </si>
  <si>
    <t>2026.10.27</t>
    <phoneticPr fontId="2" type="noConversion"/>
  </si>
  <si>
    <t>Validator 결과는 해당 도구의 검사 범위에 대한 결과이며, IDTA 표준 서브모델 내부 전체의 적합성을 보증하는 의미는 아님. 공식 원본 대비 차이와 표준 의미 선정 근거는 별첨 수정근거 자료를 참조함.</t>
    <phoneticPr fontId="2" type="noConversion"/>
  </si>
  <si>
    <t>스트레쳐 검토의견 D-04~D-09에 따라 수정된 최종 AASX를 기준으로 추가 검토를 수행함.
① 검토 대상 AASX의 파일명과 SHA-256을 아래 비고에 기록함. Validator 검사 당시 파일명과 현재 제출 파일명은 다르지만, SHA-256이 동일하여 같은 내용의 파일임을 확인함.
② IDTA 기반 서브모델 7종에 대해 공식 원본과 제출본의 SME 경로·semanticId 및 변경사항 비교자료를 작성함.
③ 장비특화 의미 항목 30개에 대해 표준사전 후보의 식별자·원문 정의·자료형·단위 및 채택·배제 근거를 보완함. JawOpeningWidth에 ECLASS 식별자를 적용하고, ProducedQuantity와 중복되는 StraightenedProfileCount를 삭제함.
④ TimeSeries의 실제 레코드 1건에 맞춰 Time00=0, StartTime=EndTime으로 정합화함. 기존 SamplingInterval=100ms 및 SamplingRate=10Hz는 유지함.
⑤ 수정된 최종 AASX로 Validator를 재실행하여 70개 Passed, 0개 Failed를 확인함.</t>
    <phoneticPr fontId="2" type="noConversion"/>
  </si>
  <si>
    <t>제출 파일: Stretcher_v0.0.3.aasx
SHA-256: 3f486c091f517b5aeff6c669f317cb75fa627227a5b160e7851dd6100ce07f4b 
검사 당시 파일과 현재 제출 파일의 SHA-256 동일.</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</si>
</sst>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0"/>
      <color theme="0"/>
      <name val="맑은 고딕"/>
      <family val="3"/>
      <charset val="129"/>
      <scheme val="minor"/>
    </font>
    <font>
      <sz val="10"/>
      <color theme="1"/>
      <name val="맑은 고딕"/>
      <family val="3"/>
      <charset val="129"/>
      <scheme val="minor"/>
    </font>
    <font>
      <b/>
      <sz val="10"/>
      <color theme="1"/>
      <name val="맑은 고딕"/>
      <family val="3"/>
      <charset val="129"/>
      <scheme val="minor"/>
    </font>
    <font>
      <sz val="10"/>
      <color rgb="FF000000"/>
      <name val="맑은 고딕"/>
      <family val="3"/>
      <charset val="129"/>
      <scheme val="minor"/>
    </font>
    <font>
      <sz val="10"/>
      <color theme="1"/>
      <name val="Arial Unicode MS"/>
      <family val="3"/>
      <charset val="129"/>
    </font>
    <font>
      <sz val="10"/>
      <color theme="1"/>
      <name val="맑은 고딕"/>
      <family val="2"/>
      <charset val="129"/>
      <scheme val="minor"/>
    </font>
    <font>
      <b/>
      <sz val="14"/>
      <color theme="0"/>
      <name val="맑은 고딕"/>
      <family val="3"/>
      <charset val="129"/>
      <scheme val="minor"/>
    </font>
    <font>
      <sz val="10"/>
      <color theme="1"/>
      <name val="Wingdings"/>
      <family val="2"/>
      <charset val="2"/>
    </font>
    <font>
      <sz val="10"/>
      <color theme="1"/>
      <name val="맑은 고딕"/>
      <family val="3"/>
      <charset val="129"/>
    </font>
    <font>
      <sz val="11"/>
      <color rgb="FF00B050"/>
      <name val="맑은 고딕"/>
      <family val="3"/>
      <charset val="129"/>
      <scheme val="minor"/>
    </font>
    <font>
      <strike/>
      <sz val="10"/>
      <color rgb="FF00B050"/>
      <name val="맑은 고딕"/>
      <family val="3"/>
      <charset val="129"/>
      <scheme val="minor"/>
    </font>
    <font>
      <strike/>
      <sz val="11"/>
      <color rgb="FF00B050"/>
      <name val="맑은 고딕"/>
      <family val="3"/>
      <charset val="129"/>
      <scheme val="minor"/>
    </font>
    <font>
      <sz val="11"/>
      <name val="맑은 고딕"/>
      <family val="3"/>
      <charset val="129"/>
      <scheme val="minor"/>
    </font>
    <font>
      <b/>
      <sz val="11"/>
      <color theme="1"/>
      <name val="맑은 고딕"/>
      <family val="3"/>
      <charset val="129"/>
      <scheme val="minor"/>
    </font>
    <font>
      <b/>
      <sz val="16"/>
      <color theme="0"/>
      <name val="맑은 고딕"/>
      <family val="3"/>
      <charset val="129"/>
      <scheme val="minor"/>
    </font>
    <font>
      <sz val="10"/>
      <color theme="1"/>
      <name val="맑은 고딕"/>
      <family val="3"/>
      <charset val="129"/>
      <scheme val="major"/>
    </font>
    <font>
      <u/>
      <sz val="10"/>
      <color theme="1"/>
      <name val="맑은 고딕"/>
      <family val="3"/>
      <charset val="129"/>
    </font>
    <font>
      <u/>
      <sz val="10"/>
      <color theme="1"/>
      <name val="맑은 고딕"/>
      <family val="3"/>
      <charset val="129"/>
      <scheme val="minor"/>
    </font>
    <font>
      <b/>
      <sz val="10"/>
      <color theme="1"/>
      <name val="Arial Unicode MS"/>
      <family val="3"/>
      <charset val="129"/>
    </font>
    <font>
      <b/>
      <sz val="10"/>
      <color rgb="FF0070C0"/>
      <name val="맑은 고딕"/>
      <family val="3"/>
      <charset val="129"/>
      <scheme val="minor"/>
    </font>
    <font>
      <sz val="10"/>
      <color theme="1"/>
      <name val="맑은 고딕"/>
      <family val="2"/>
      <charset val="129"/>
    </font>
    <font>
      <b/>
      <sz val="10"/>
      <color rgb="FF0070C0"/>
      <name val="맑은 고딕"/>
      <family val="2"/>
      <charset val="129"/>
      <scheme val="minor"/>
    </font>
    <font>
      <b/>
      <strike/>
      <sz val="10"/>
      <color theme="1"/>
      <name val="맑은 고딕"/>
      <family val="3"/>
      <charset val="129"/>
      <scheme val="minor"/>
    </font>
    <font>
      <b/>
      <sz val="10"/>
      <color theme="1"/>
      <name val="맑은 고딕"/>
      <family val="3"/>
      <charset val="129"/>
    </font>
    <font>
      <b/>
      <sz val="10"/>
      <color rgb="FFFF0000"/>
      <name val="맑은 고딕"/>
      <family val="3"/>
      <charset val="129"/>
    </font>
    <font>
      <b/>
      <sz val="10"/>
      <color rgb="FFFF0000"/>
      <name val="맑은 고딕"/>
      <family val="2"/>
      <charset val="129"/>
    </font>
    <font>
      <sz val="10"/>
      <color rgb="FFFF0000"/>
      <name val="맑은 고딕"/>
      <family val="3"/>
      <charset val="129"/>
    </font>
  </fonts>
  <fills count="7">
    <fill>
      <patternFill patternType="none"/>
    </fill>
    <fill>
      <patternFill patternType="gray125"/>
    </fill>
    <fill>
      <patternFill patternType="solid">
        <fgColor rgb="FFFFFFCC"/>
      </patternFill>
    </fill>
    <fill>
      <patternFill patternType="solid">
        <fgColor rgb="FF0000FF"/>
        <bgColor indexed="64"/>
      </patternFill>
    </fill>
    <fill>
      <patternFill patternType="solid">
        <fgColor rgb="FFC0CCFF"/>
        <bgColor indexed="64"/>
      </patternFill>
    </fill>
    <fill>
      <patternFill patternType="solid">
        <fgColor theme="0" tint="-0.14999847407452621"/>
        <bgColor indexed="64"/>
      </patternFill>
    </fill>
    <fill>
      <patternFill patternType="solid">
        <fgColor rgb="FFFFFFCC"/>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2">
    <xf numFmtId="0" fontId="0" fillId="0" borderId="0">
      <alignment vertical="center"/>
    </xf>
    <xf numFmtId="0" fontId="1" fillId="2" borderId="1" applyNumberFormat="0" applyFont="0" applyAlignment="0" applyProtection="0">
      <alignment vertical="center"/>
    </xf>
  </cellStyleXfs>
  <cellXfs count="88">
    <xf numFmtId="0" fontId="0" fillId="0" borderId="0" xfId="0">
      <alignment vertical="center"/>
    </xf>
    <xf numFmtId="0" fontId="5" fillId="4" borderId="2" xfId="0" applyFont="1" applyFill="1" applyBorder="1" applyAlignment="1">
      <alignment horizontal="center" vertical="center"/>
    </xf>
    <xf numFmtId="0" fontId="5" fillId="4"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4" fillId="0" borderId="2" xfId="0" applyFont="1" applyBorder="1" applyAlignment="1">
      <alignment horizontal="center" vertical="center"/>
    </xf>
    <xf numFmtId="0" fontId="4" fillId="0" borderId="2" xfId="0" quotePrefix="1" applyFont="1" applyBorder="1" applyAlignment="1">
      <alignment horizontal="center" vertical="center"/>
    </xf>
    <xf numFmtId="0" fontId="4" fillId="0" borderId="2" xfId="0" applyFont="1" applyBorder="1" applyAlignment="1">
      <alignment horizontal="left" vertical="center" wrapText="1"/>
    </xf>
    <xf numFmtId="0" fontId="6" fillId="0" borderId="2" xfId="0" applyFont="1" applyBorder="1" applyAlignment="1">
      <alignment horizontal="left" vertical="center" wrapText="1"/>
    </xf>
    <xf numFmtId="0" fontId="4" fillId="0" borderId="0" xfId="0" applyFont="1">
      <alignment vertical="center"/>
    </xf>
    <xf numFmtId="0" fontId="5" fillId="0" borderId="2" xfId="0" applyFont="1" applyBorder="1" applyAlignment="1">
      <alignment horizontal="center" vertical="center"/>
    </xf>
    <xf numFmtId="0" fontId="4"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0" xfId="0" applyFont="1">
      <alignment vertical="center"/>
    </xf>
    <xf numFmtId="0" fontId="3" fillId="0" borderId="0" xfId="0" applyFont="1">
      <alignment vertical="center"/>
    </xf>
    <xf numFmtId="0" fontId="8" fillId="2" borderId="2" xfId="1" applyFont="1" applyBorder="1" applyAlignment="1">
      <alignment horizontal="center" vertical="center"/>
    </xf>
    <xf numFmtId="0" fontId="8" fillId="2" borderId="2" xfId="1" quotePrefix="1" applyFont="1" applyBorder="1" applyAlignment="1">
      <alignment horizontal="center" vertical="center"/>
    </xf>
    <xf numFmtId="0" fontId="8" fillId="2" borderId="2" xfId="1" quotePrefix="1" applyFont="1" applyBorder="1" applyAlignment="1">
      <alignment horizontal="center" vertical="center" wrapText="1"/>
    </xf>
    <xf numFmtId="0" fontId="4"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0" borderId="2" xfId="0" quotePrefix="1" applyFont="1" applyBorder="1" applyAlignment="1">
      <alignment horizontal="center" vertical="center" wrapText="1"/>
      <extLst>
        <ext xmlns:xfpb="http://schemas.microsoft.com/office/spreadsheetml/2022/featurepropertybag" uri="{C7286773-470A-42A8-94C5-96B5CB345126}">
          <xfpb:xfComplement i="0"/>
        </ext>
      </extLst>
    </xf>
    <xf numFmtId="0" fontId="7" fillId="0" borderId="0" xfId="0" applyFont="1">
      <alignment vertical="center"/>
    </xf>
    <xf numFmtId="0" fontId="0" fillId="0" borderId="0" xfId="0" applyAlignment="1">
      <alignment vertical="center" wrapText="1"/>
    </xf>
    <xf numFmtId="0" fontId="11" fillId="0" borderId="0" xfId="0" quotePrefix="1" applyFont="1" applyAlignment="1">
      <alignment vertical="center" wrapText="1"/>
    </xf>
    <xf numFmtId="0" fontId="8" fillId="0" borderId="0" xfId="0" applyFont="1" applyAlignment="1">
      <alignment vertical="center" wrapText="1"/>
    </xf>
    <xf numFmtId="0" fontId="8" fillId="0" borderId="0" xfId="0" quotePrefix="1" applyFont="1" applyAlignment="1">
      <alignment vertical="center" wrapText="1"/>
    </xf>
    <xf numFmtId="0" fontId="0" fillId="0" borderId="0" xfId="0" applyAlignment="1">
      <alignment horizontal="center" vertical="center"/>
    </xf>
    <xf numFmtId="0" fontId="12" fillId="0" borderId="0" xfId="0" applyFont="1">
      <alignment vertical="center"/>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horizontal="center" vertical="center"/>
    </xf>
    <xf numFmtId="0" fontId="8" fillId="0" borderId="0" xfId="0" applyFont="1" applyAlignment="1">
      <alignment horizontal="center" vertical="center" wrapText="1"/>
    </xf>
    <xf numFmtId="0" fontId="16" fillId="4" borderId="2" xfId="0" applyFont="1" applyFill="1" applyBorder="1" applyAlignment="1">
      <alignment horizontal="center" vertical="center"/>
    </xf>
    <xf numFmtId="0" fontId="4" fillId="0" borderId="2" xfId="0" quotePrefix="1" applyFont="1" applyBorder="1" applyAlignment="1">
      <alignment horizontal="left" vertical="center" wrapText="1"/>
    </xf>
    <xf numFmtId="0" fontId="3" fillId="0" borderId="0" xfId="0" applyFont="1" applyAlignment="1">
      <alignment vertical="center" wrapText="1"/>
    </xf>
    <xf numFmtId="0" fontId="10" fillId="0" borderId="0" xfId="0" applyFont="1">
      <alignment vertical="center"/>
    </xf>
    <xf numFmtId="0" fontId="18" fillId="0" borderId="2" xfId="0" applyFont="1" applyBorder="1" applyAlignment="1">
      <alignment horizontal="center" vertical="center"/>
    </xf>
    <xf numFmtId="0" fontId="18" fillId="6" borderId="2" xfId="0" applyFont="1" applyFill="1" applyBorder="1" applyAlignment="1">
      <alignment horizontal="center" vertical="center"/>
    </xf>
    <xf numFmtId="0" fontId="6" fillId="0" borderId="2" xfId="0" applyFont="1" applyBorder="1" applyAlignment="1">
      <alignment horizontal="left" vertical="center"/>
    </xf>
    <xf numFmtId="0" fontId="4" fillId="0" borderId="2" xfId="0" applyFont="1" applyBorder="1" applyAlignment="1">
      <alignment horizontal="left" vertical="center"/>
    </xf>
    <xf numFmtId="0" fontId="5" fillId="0" borderId="2" xfId="0" quotePrefix="1" applyFont="1" applyBorder="1" applyAlignment="1">
      <alignment horizontal="center" vertical="center"/>
    </xf>
    <xf numFmtId="0" fontId="4" fillId="0" borderId="2" xfId="0" applyFont="1" applyBorder="1" applyAlignment="1">
      <alignment vertical="center" wrapText="1"/>
    </xf>
    <xf numFmtId="0" fontId="8"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0" fontId="21" fillId="0" borderId="2" xfId="0" applyFont="1" applyBorder="1" applyAlignment="1">
      <alignment horizontal="center" vertical="center"/>
    </xf>
    <xf numFmtId="0" fontId="22" fillId="0" borderId="2" xfId="0" applyFont="1" applyBorder="1" applyAlignment="1">
      <alignment horizontal="left" vertical="center" wrapText="1"/>
    </xf>
    <xf numFmtId="0" fontId="5" fillId="0" borderId="2" xfId="0" applyFont="1" applyBorder="1" applyAlignment="1">
      <alignment horizontal="center" vertical="center" wrapText="1"/>
    </xf>
    <xf numFmtId="0" fontId="11" fillId="0" borderId="2" xfId="0" applyFont="1" applyBorder="1" applyAlignment="1">
      <alignment horizontal="left" vertical="center" wrapText="1"/>
    </xf>
    <xf numFmtId="0" fontId="5"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27" fillId="0" borderId="2" xfId="0" applyFont="1" applyBorder="1" applyAlignment="1">
      <alignment horizontal="left" vertical="center" wrapText="1"/>
    </xf>
    <xf numFmtId="0" fontId="4" fillId="0" borderId="2" xfId="0" applyFont="1" applyBorder="1">
      <alignment vertical="center"/>
    </xf>
    <xf numFmtId="0" fontId="0" fillId="0" borderId="0" xfId="0" applyAlignment="1">
      <alignment horizontal="center" vertical="center"/>
    </xf>
    <xf numFmtId="0" fontId="0" fillId="0" borderId="2" xfId="0" applyBorder="1" applyAlignment="1">
      <alignment horizontal="center" vertical="center" wrapText="1"/>
    </xf>
    <xf numFmtId="0" fontId="0" fillId="0" borderId="2" xfId="0" quotePrefix="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left" vertical="center" wrapText="1"/>
    </xf>
    <xf numFmtId="0" fontId="0" fillId="0" borderId="2" xfId="0" applyBorder="1" applyAlignment="1">
      <alignment horizontal="left" vertical="center"/>
    </xf>
    <xf numFmtId="0" fontId="17" fillId="3" borderId="2" xfId="0" applyFont="1" applyFill="1" applyBorder="1" applyAlignment="1">
      <alignment horizontal="center" vertical="center"/>
    </xf>
    <xf numFmtId="0" fontId="0" fillId="3" borderId="2" xfId="0" applyFill="1" applyBorder="1" applyAlignment="1">
      <alignment horizontal="center" vertical="center"/>
    </xf>
    <xf numFmtId="0" fontId="16" fillId="4" borderId="2" xfId="0" applyFont="1" applyFill="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16" fillId="4" borderId="3" xfId="0" applyFont="1" applyFill="1" applyBorder="1" applyAlignment="1">
      <alignment horizontal="center" vertical="center"/>
    </xf>
    <xf numFmtId="0" fontId="0" fillId="4" borderId="5" xfId="0" applyFill="1" applyBorder="1" applyAlignment="1">
      <alignment horizontal="center" vertical="center"/>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8" xfId="0" applyFont="1" applyFill="1" applyBorder="1" applyAlignment="1">
      <alignment horizontal="center" vertical="center"/>
    </xf>
    <xf numFmtId="0" fontId="5" fillId="5"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5" fillId="0" borderId="6" xfId="0" quotePrefix="1"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49" fontId="4" fillId="0" borderId="6" xfId="0" quotePrefix="1" applyNumberFormat="1" applyFont="1" applyBorder="1" applyAlignment="1">
      <alignment horizontal="left" vertical="center" wrapText="1"/>
    </xf>
    <xf numFmtId="49" fontId="4" fillId="0" borderId="7" xfId="0" quotePrefix="1" applyNumberFormat="1" applyFont="1" applyBorder="1" applyAlignment="1">
      <alignment horizontal="left" vertical="center"/>
    </xf>
    <xf numFmtId="49" fontId="4" fillId="0" borderId="8" xfId="0" quotePrefix="1" applyNumberFormat="1" applyFont="1" applyBorder="1" applyAlignment="1">
      <alignment horizontal="left" vertical="center"/>
    </xf>
    <xf numFmtId="0" fontId="5" fillId="5" borderId="3"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8" fillId="0" borderId="0" xfId="0" applyFont="1" applyAlignment="1">
      <alignment horizontal="center" vertical="center"/>
    </xf>
    <xf numFmtId="0" fontId="9" fillId="3" borderId="9" xfId="0" applyFont="1" applyFill="1" applyBorder="1" applyAlignment="1">
      <alignment horizontal="center" vertical="center"/>
    </xf>
    <xf numFmtId="0" fontId="9" fillId="3" borderId="0" xfId="0" applyFont="1" applyFill="1" applyAlignment="1">
      <alignment horizontal="center" vertical="center"/>
    </xf>
    <xf numFmtId="0" fontId="5" fillId="4" borderId="2" xfId="0" applyFont="1" applyFill="1" applyBorder="1" applyAlignment="1">
      <alignment horizontal="center" vertical="center"/>
    </xf>
    <xf numFmtId="0" fontId="8" fillId="0" borderId="2" xfId="0" applyFont="1" applyBorder="1" applyAlignment="1">
      <alignment horizontal="center" vertical="center"/>
    </xf>
    <xf numFmtId="0" fontId="5" fillId="5" borderId="2" xfId="0" quotePrefix="1" applyFont="1" applyFill="1" applyBorder="1" applyAlignment="1">
      <alignment horizontal="center" vertical="center"/>
    </xf>
    <xf numFmtId="0" fontId="10"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8" fillId="0" borderId="2" xfId="0" applyFont="1" applyBorder="1" applyAlignment="1">
      <alignment horizontal="center" vertical="center"/>
      <extLst>
        <ext xmlns:xfpb="http://schemas.microsoft.com/office/spreadsheetml/2022/featurepropertybag" uri="{C7286773-470A-42A8-94C5-96B5CB345126}">
          <xfpb:xfComplement i="0"/>
        </ext>
      </extLst>
    </xf>
  </cellXfs>
  <cellStyles count="2">
    <cellStyle name="메모" xfId="1" builtinId="10"/>
    <cellStyle name="표준" xfId="0" builtinId="0"/>
  </cellStyles>
  <dxfs count="0"/>
  <tableStyles count="0" defaultTableStyle="TableStyleMedium2" defaultPivotStyle="PivotStyleLight16"/>
  <colors>
    <mruColors>
      <color rgb="FF0000FF"/>
      <color rgb="FFFFFFCC"/>
      <color rgb="FFC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142257</xdr:colOff>
      <xdr:row>5</xdr:row>
      <xdr:rowOff>847723</xdr:rowOff>
    </xdr:from>
    <xdr:to>
      <xdr:col>3</xdr:col>
      <xdr:colOff>4843457</xdr:colOff>
      <xdr:row>5</xdr:row>
      <xdr:rowOff>2487133</xdr:rowOff>
    </xdr:to>
    <xdr:pic>
      <xdr:nvPicPr>
        <xdr:cNvPr id="2" name="그림 1">
          <a:extLst>
            <a:ext uri="{FF2B5EF4-FFF2-40B4-BE49-F238E27FC236}">
              <a16:creationId xmlns:a16="http://schemas.microsoft.com/office/drawing/2014/main" id="{8B3DE338-BA9A-CF6E-3740-972146C21651}"/>
            </a:ext>
          </a:extLst>
        </xdr:cNvPr>
        <xdr:cNvPicPr>
          <a:picLocks noChangeAspect="1"/>
        </xdr:cNvPicPr>
      </xdr:nvPicPr>
      <xdr:blipFill>
        <a:blip xmlns:r="http://schemas.openxmlformats.org/officeDocument/2006/relationships" r:embed="rId1"/>
        <a:stretch>
          <a:fillRect/>
        </a:stretch>
      </xdr:blipFill>
      <xdr:spPr>
        <a:xfrm>
          <a:off x="8102436" y="3528330"/>
          <a:ext cx="4701200" cy="163941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0B537-142C-4256-9234-CE27C21F9048}">
  <sheetPr codeName="Sheet1"/>
  <dimension ref="A1:F16"/>
  <sheetViews>
    <sheetView topLeftCell="A4" zoomScale="140" zoomScaleNormal="140" workbookViewId="0">
      <selection activeCell="C10" sqref="C10"/>
    </sheetView>
  </sheetViews>
  <sheetFormatPr defaultColWidth="8.875" defaultRowHeight="16.5"/>
  <cols>
    <col min="1" max="1" width="15.5" style="8" customWidth="1"/>
    <col min="2" max="2" width="26.5" style="8" bestFit="1" customWidth="1"/>
    <col min="3" max="3" width="62.5" style="8" customWidth="1"/>
    <col min="4" max="4" width="65" style="8" customWidth="1"/>
    <col min="5" max="5" width="8.875" customWidth="1"/>
    <col min="6" max="6" width="8.875" style="20" customWidth="1"/>
  </cols>
  <sheetData>
    <row r="1" spans="1:6" ht="20.25">
      <c r="A1" s="62" t="s">
        <v>39</v>
      </c>
      <c r="B1" s="63"/>
      <c r="C1" s="63"/>
      <c r="D1" s="64"/>
    </row>
    <row r="2" spans="1:6">
      <c r="A2" s="1" t="s">
        <v>3</v>
      </c>
      <c r="B2" s="1" t="s">
        <v>27</v>
      </c>
      <c r="C2" s="2" t="s">
        <v>1</v>
      </c>
      <c r="D2" s="1" t="s">
        <v>2</v>
      </c>
    </row>
    <row r="3" spans="1:6" ht="44.25" customHeight="1">
      <c r="A3" s="69" t="s">
        <v>0</v>
      </c>
      <c r="B3" s="67" t="s">
        <v>84</v>
      </c>
      <c r="C3" s="68"/>
      <c r="D3" s="43" t="e" vm="1">
        <v>#VALUE!</v>
      </c>
    </row>
    <row r="4" spans="1:6" ht="51" customHeight="1">
      <c r="A4" s="70"/>
      <c r="B4" s="4" t="s">
        <v>14</v>
      </c>
      <c r="C4" s="6" t="s">
        <v>40</v>
      </c>
      <c r="D4" s="9"/>
    </row>
    <row r="5" spans="1:6" ht="78" customHeight="1">
      <c r="A5" s="70"/>
      <c r="B5" s="10" t="s">
        <v>28</v>
      </c>
      <c r="C5" s="6" t="s">
        <v>75</v>
      </c>
      <c r="D5" s="9"/>
    </row>
    <row r="6" spans="1:6" ht="283.5">
      <c r="A6" s="70"/>
      <c r="B6" s="4" t="s">
        <v>29</v>
      </c>
      <c r="C6" s="6" t="s">
        <v>101</v>
      </c>
      <c r="D6" s="4"/>
      <c r="F6" s="21"/>
    </row>
    <row r="7" spans="1:6" ht="182.45" customHeight="1">
      <c r="A7" s="71"/>
      <c r="B7" s="9" t="s">
        <v>88</v>
      </c>
      <c r="C7" s="42" t="s">
        <v>102</v>
      </c>
      <c r="D7" s="11" t="e" vm="2">
        <v>#VALUE!</v>
      </c>
      <c r="F7" s="21"/>
    </row>
    <row r="8" spans="1:6" ht="94.5">
      <c r="A8" s="65" t="s">
        <v>59</v>
      </c>
      <c r="B8" s="4" t="s">
        <v>11</v>
      </c>
      <c r="C8" s="7" t="s">
        <v>103</v>
      </c>
      <c r="D8" s="4"/>
    </row>
    <row r="9" spans="1:6" ht="61.5" customHeight="1">
      <c r="A9" s="66"/>
      <c r="B9" s="4" t="s">
        <v>13</v>
      </c>
      <c r="C9" s="6" t="s">
        <v>74</v>
      </c>
      <c r="D9" s="4"/>
    </row>
    <row r="10" spans="1:6" ht="94.5">
      <c r="A10" s="66"/>
      <c r="B10" s="4" t="s">
        <v>16</v>
      </c>
      <c r="C10" s="44" t="s">
        <v>89</v>
      </c>
      <c r="D10" s="4"/>
    </row>
    <row r="11" spans="1:6" ht="243">
      <c r="A11" s="66"/>
      <c r="B11" s="4" t="s">
        <v>69</v>
      </c>
      <c r="C11" s="39" t="s">
        <v>90</v>
      </c>
      <c r="D11" s="4"/>
    </row>
    <row r="16" spans="1:6">
      <c r="B16"/>
    </row>
  </sheetData>
  <mergeCells count="4">
    <mergeCell ref="A1:D1"/>
    <mergeCell ref="A8:A11"/>
    <mergeCell ref="B3:C3"/>
    <mergeCell ref="A3:A7"/>
  </mergeCells>
  <phoneticPr fontId="2"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B1D97-18C1-4F89-9679-A4237428C2F2}">
  <sheetPr codeName="Sheet2"/>
  <dimension ref="A1:K29"/>
  <sheetViews>
    <sheetView showGridLines="0" zoomScaleNormal="100" workbookViewId="0">
      <selection activeCell="H7" sqref="H7"/>
    </sheetView>
  </sheetViews>
  <sheetFormatPr defaultColWidth="8.875" defaultRowHeight="16.5"/>
  <cols>
    <col min="1" max="1" width="17.5" style="13" bestFit="1" customWidth="1"/>
    <col min="2" max="2" width="4.5" style="13" bestFit="1" customWidth="1"/>
    <col min="3" max="3" width="6.375" style="13" bestFit="1" customWidth="1"/>
    <col min="4" max="4" width="26.5" style="13" bestFit="1" customWidth="1"/>
    <col min="5" max="5" width="71.375" style="13" customWidth="1"/>
    <col min="6" max="6" width="10" style="13" customWidth="1"/>
    <col min="7" max="7" width="85.25" style="32" customWidth="1"/>
    <col min="8" max="8" width="24" customWidth="1"/>
    <col min="9" max="9" width="107.375" style="22" customWidth="1"/>
    <col min="10" max="10" width="13" style="24" customWidth="1"/>
    <col min="11" max="11" width="39.5" customWidth="1"/>
  </cols>
  <sheetData>
    <row r="1" spans="1:11" ht="20.25">
      <c r="A1" s="62" t="s">
        <v>83</v>
      </c>
      <c r="B1" s="63"/>
      <c r="C1" s="63"/>
      <c r="D1" s="63"/>
      <c r="E1" s="63"/>
      <c r="F1" s="63"/>
      <c r="G1" s="64"/>
      <c r="I1" s="29"/>
      <c r="K1" s="24"/>
    </row>
    <row r="2" spans="1:11">
      <c r="A2" s="1" t="s">
        <v>3</v>
      </c>
      <c r="B2" s="1" t="s">
        <v>4</v>
      </c>
      <c r="C2" s="1" t="s">
        <v>5</v>
      </c>
      <c r="D2" s="1" t="s">
        <v>6</v>
      </c>
      <c r="E2" s="2" t="s">
        <v>1</v>
      </c>
      <c r="F2" s="2" t="s">
        <v>7</v>
      </c>
      <c r="G2" s="2" t="s">
        <v>58</v>
      </c>
      <c r="K2" s="25"/>
    </row>
    <row r="3" spans="1:11" ht="27">
      <c r="A3" s="3" t="s">
        <v>8</v>
      </c>
      <c r="B3" s="4">
        <v>1</v>
      </c>
      <c r="C3" s="4" t="s">
        <v>9</v>
      </c>
      <c r="D3" s="4" t="s">
        <v>10</v>
      </c>
      <c r="E3" s="47" t="s">
        <v>91</v>
      </c>
      <c r="F3" s="17" t="b">
        <v>1</v>
      </c>
      <c r="G3" s="48" t="s">
        <v>104</v>
      </c>
      <c r="K3" s="25"/>
    </row>
    <row r="4" spans="1:11" ht="24" customHeight="1">
      <c r="A4" s="69" t="s">
        <v>76</v>
      </c>
      <c r="B4" s="9">
        <v>2</v>
      </c>
      <c r="C4" s="9" t="s">
        <v>9</v>
      </c>
      <c r="D4" s="9" t="s">
        <v>11</v>
      </c>
      <c r="E4" s="45" t="s">
        <v>12</v>
      </c>
      <c r="F4" s="17" t="b">
        <v>1</v>
      </c>
      <c r="G4" s="48" t="s">
        <v>105</v>
      </c>
      <c r="K4" s="25"/>
    </row>
    <row r="5" spans="1:11" ht="67.5">
      <c r="A5" s="71"/>
      <c r="B5" s="9">
        <v>3</v>
      </c>
      <c r="C5" s="9" t="s">
        <v>9</v>
      </c>
      <c r="D5" s="9" t="s">
        <v>55</v>
      </c>
      <c r="E5" s="45" t="s">
        <v>95</v>
      </c>
      <c r="F5" s="17" t="b">
        <v>1</v>
      </c>
      <c r="G5" s="48" t="s">
        <v>106</v>
      </c>
      <c r="K5" s="25"/>
    </row>
    <row r="6" spans="1:11" ht="54">
      <c r="A6" s="69" t="s">
        <v>60</v>
      </c>
      <c r="B6" s="4">
        <v>4</v>
      </c>
      <c r="C6" s="4" t="s">
        <v>9</v>
      </c>
      <c r="D6" s="4" t="s">
        <v>13</v>
      </c>
      <c r="E6" s="6" t="s">
        <v>96</v>
      </c>
      <c r="F6" s="17" t="b">
        <v>1</v>
      </c>
      <c r="G6" s="48" t="s">
        <v>107</v>
      </c>
      <c r="K6" s="25"/>
    </row>
    <row r="7" spans="1:11" ht="54">
      <c r="A7" s="70"/>
      <c r="B7" s="5">
        <v>5</v>
      </c>
      <c r="C7" s="4" t="s">
        <v>9</v>
      </c>
      <c r="D7" s="4" t="s">
        <v>17</v>
      </c>
      <c r="E7" s="6" t="s">
        <v>92</v>
      </c>
      <c r="F7" s="17" t="b">
        <v>1</v>
      </c>
      <c r="G7" s="48" t="s">
        <v>108</v>
      </c>
      <c r="K7" s="25"/>
    </row>
    <row r="8" spans="1:11" ht="24.95" customHeight="1">
      <c r="A8" s="70"/>
      <c r="B8" s="4">
        <v>6</v>
      </c>
      <c r="C8" s="4" t="s">
        <v>15</v>
      </c>
      <c r="D8" s="4" t="s">
        <v>18</v>
      </c>
      <c r="E8" s="6" t="s">
        <v>19</v>
      </c>
      <c r="F8" s="17" t="b">
        <v>1</v>
      </c>
      <c r="G8" s="48" t="s">
        <v>110</v>
      </c>
      <c r="K8" s="25"/>
    </row>
    <row r="9" spans="1:11" ht="24.95" customHeight="1">
      <c r="A9" s="71"/>
      <c r="B9" s="4">
        <v>7</v>
      </c>
      <c r="C9" s="4" t="s">
        <v>9</v>
      </c>
      <c r="D9" s="4" t="s">
        <v>20</v>
      </c>
      <c r="E9" s="31" t="s">
        <v>56</v>
      </c>
      <c r="F9" s="18" t="b">
        <v>1</v>
      </c>
      <c r="G9" s="48" t="s">
        <v>111</v>
      </c>
      <c r="K9" s="25"/>
    </row>
    <row r="10" spans="1:11" ht="33.950000000000003" customHeight="1">
      <c r="A10" s="69" t="s">
        <v>21</v>
      </c>
      <c r="B10" s="9">
        <v>8</v>
      </c>
      <c r="C10" s="9" t="s">
        <v>9</v>
      </c>
      <c r="D10" s="9" t="s">
        <v>77</v>
      </c>
      <c r="E10" s="46" t="s">
        <v>78</v>
      </c>
      <c r="F10" s="18" t="b">
        <v>1</v>
      </c>
      <c r="G10" s="48" t="s">
        <v>109</v>
      </c>
      <c r="K10" s="25"/>
    </row>
    <row r="11" spans="1:11" ht="54">
      <c r="A11" s="70"/>
      <c r="B11" s="4">
        <v>9</v>
      </c>
      <c r="C11" s="4" t="s">
        <v>9</v>
      </c>
      <c r="D11" s="4" t="s">
        <v>13</v>
      </c>
      <c r="E11" s="6" t="s">
        <v>96</v>
      </c>
      <c r="F11" s="17" t="b">
        <v>1</v>
      </c>
      <c r="G11" s="36" t="s">
        <v>112</v>
      </c>
      <c r="K11" s="27"/>
    </row>
    <row r="12" spans="1:11" ht="27">
      <c r="A12" s="70"/>
      <c r="B12" s="5">
        <v>10</v>
      </c>
      <c r="C12" s="4" t="s">
        <v>9</v>
      </c>
      <c r="D12" s="4" t="s">
        <v>22</v>
      </c>
      <c r="E12" s="6" t="s">
        <v>54</v>
      </c>
      <c r="F12" s="17" t="b">
        <v>1</v>
      </c>
      <c r="G12" s="48" t="s">
        <v>113</v>
      </c>
      <c r="I12" s="23"/>
      <c r="J12" s="28"/>
      <c r="K12" s="25"/>
    </row>
    <row r="13" spans="1:11" ht="24.95" customHeight="1">
      <c r="A13" s="70"/>
      <c r="B13" s="4">
        <v>11</v>
      </c>
      <c r="C13" s="4" t="s">
        <v>9</v>
      </c>
      <c r="D13" s="4" t="s">
        <v>23</v>
      </c>
      <c r="E13" s="31" t="s">
        <v>57</v>
      </c>
      <c r="F13" s="18" t="b">
        <v>1</v>
      </c>
      <c r="G13" s="48" t="s">
        <v>114</v>
      </c>
      <c r="K13" s="25"/>
    </row>
    <row r="14" spans="1:11" ht="129.94999999999999" customHeight="1">
      <c r="A14" s="71"/>
      <c r="B14" s="9">
        <v>12</v>
      </c>
      <c r="C14" s="9" t="s">
        <v>15</v>
      </c>
      <c r="D14" s="9" t="s">
        <v>79</v>
      </c>
      <c r="E14" s="46" t="s">
        <v>97</v>
      </c>
      <c r="F14" s="18" t="b">
        <v>1</v>
      </c>
      <c r="G14" s="48" t="s">
        <v>115</v>
      </c>
      <c r="K14" s="25"/>
    </row>
    <row r="15" spans="1:11" ht="27">
      <c r="A15" s="78" t="s">
        <v>85</v>
      </c>
      <c r="B15" s="9">
        <v>13</v>
      </c>
      <c r="C15" s="9" t="s">
        <v>15</v>
      </c>
      <c r="D15" s="43" t="s">
        <v>82</v>
      </c>
      <c r="E15" s="45" t="s">
        <v>98</v>
      </c>
      <c r="F15" s="18" t="b">
        <v>1</v>
      </c>
      <c r="G15" s="48" t="s">
        <v>116</v>
      </c>
      <c r="K15" s="25"/>
    </row>
    <row r="16" spans="1:11" ht="26.1" customHeight="1">
      <c r="A16" s="79"/>
      <c r="B16" s="4">
        <v>14</v>
      </c>
      <c r="C16" s="4" t="s">
        <v>9</v>
      </c>
      <c r="D16" s="4" t="s">
        <v>80</v>
      </c>
      <c r="E16" s="6" t="s">
        <v>87</v>
      </c>
      <c r="F16" s="18" t="b">
        <v>1</v>
      </c>
      <c r="G16" s="48" t="s">
        <v>117</v>
      </c>
      <c r="K16" s="25"/>
    </row>
    <row r="17" spans="1:11" ht="53.1" customHeight="1">
      <c r="A17" s="78" t="s">
        <v>86</v>
      </c>
      <c r="B17" s="9">
        <v>15</v>
      </c>
      <c r="C17" s="9" t="s">
        <v>9</v>
      </c>
      <c r="D17" s="9" t="s">
        <v>24</v>
      </c>
      <c r="E17" s="45" t="s">
        <v>99</v>
      </c>
      <c r="F17" s="17" t="b">
        <v>1</v>
      </c>
      <c r="G17" s="48" t="s">
        <v>118</v>
      </c>
      <c r="K17" s="25"/>
    </row>
    <row r="18" spans="1:11" ht="36.950000000000003" customHeight="1">
      <c r="A18" s="79"/>
      <c r="B18" s="5">
        <v>16</v>
      </c>
      <c r="C18" s="4" t="s">
        <v>9</v>
      </c>
      <c r="D18" s="10" t="s">
        <v>81</v>
      </c>
      <c r="E18" s="6" t="s">
        <v>72</v>
      </c>
      <c r="F18" s="40" t="b">
        <v>1</v>
      </c>
      <c r="G18" s="48" t="s">
        <v>119</v>
      </c>
      <c r="K18" s="25"/>
    </row>
    <row r="19" spans="1:11" ht="69" customHeight="1">
      <c r="A19" s="69" t="s">
        <v>25</v>
      </c>
      <c r="B19" s="5">
        <v>17</v>
      </c>
      <c r="C19" s="4" t="s">
        <v>9</v>
      </c>
      <c r="D19" s="4" t="s">
        <v>13</v>
      </c>
      <c r="E19" s="6" t="s">
        <v>94</v>
      </c>
      <c r="F19" s="17" t="b">
        <v>1</v>
      </c>
      <c r="G19" s="31" t="s">
        <v>120</v>
      </c>
      <c r="K19" s="25"/>
    </row>
    <row r="20" spans="1:11" ht="53.1" customHeight="1">
      <c r="A20" s="70"/>
      <c r="B20" s="4">
        <v>18</v>
      </c>
      <c r="C20" s="10" t="s">
        <v>9</v>
      </c>
      <c r="D20" s="4" t="s">
        <v>47</v>
      </c>
      <c r="E20" s="6" t="s">
        <v>93</v>
      </c>
      <c r="F20" s="17" t="b">
        <v>1</v>
      </c>
      <c r="G20" s="48" t="s">
        <v>121</v>
      </c>
      <c r="I20" s="23"/>
      <c r="K20" s="25"/>
    </row>
    <row r="21" spans="1:11" ht="53.1" customHeight="1">
      <c r="A21" s="71"/>
      <c r="B21" s="5">
        <v>19</v>
      </c>
      <c r="C21" s="10" t="s">
        <v>9</v>
      </c>
      <c r="D21" s="4" t="s">
        <v>73</v>
      </c>
      <c r="E21" s="6" t="s">
        <v>100</v>
      </c>
      <c r="F21" s="17" t="b">
        <v>1</v>
      </c>
      <c r="G21" s="37" t="s">
        <v>122</v>
      </c>
      <c r="I21" s="23"/>
      <c r="K21" s="25"/>
    </row>
    <row r="22" spans="1:11" ht="51.95" customHeight="1">
      <c r="A22" s="3" t="s">
        <v>2</v>
      </c>
      <c r="B22" s="75" t="s">
        <v>71</v>
      </c>
      <c r="C22" s="76"/>
      <c r="D22" s="76"/>
      <c r="E22" s="76"/>
      <c r="F22" s="76"/>
      <c r="G22" s="77"/>
      <c r="I22" s="23"/>
      <c r="K22" s="25"/>
    </row>
    <row r="23" spans="1:11">
      <c r="A23" s="3" t="s">
        <v>36</v>
      </c>
      <c r="B23" s="38">
        <v>19</v>
      </c>
      <c r="C23" s="72"/>
      <c r="D23" s="73"/>
      <c r="E23" s="73"/>
      <c r="F23" s="73"/>
      <c r="G23" s="74"/>
      <c r="K23" s="25"/>
    </row>
    <row r="24" spans="1:11">
      <c r="B24" s="13" t="s">
        <v>70</v>
      </c>
      <c r="K24" s="25"/>
    </row>
    <row r="25" spans="1:11">
      <c r="K25" s="25"/>
    </row>
    <row r="26" spans="1:11">
      <c r="K26" s="26"/>
    </row>
    <row r="29" spans="1:11">
      <c r="H29" s="13"/>
    </row>
  </sheetData>
  <mergeCells count="9">
    <mergeCell ref="C23:G23"/>
    <mergeCell ref="A1:G1"/>
    <mergeCell ref="A10:A14"/>
    <mergeCell ref="B22:G22"/>
    <mergeCell ref="A4:A5"/>
    <mergeCell ref="A6:A9"/>
    <mergeCell ref="A19:A21"/>
    <mergeCell ref="A15:A16"/>
    <mergeCell ref="A17:A18"/>
  </mergeCells>
  <phoneticPr fontId="2" type="noConversion"/>
  <printOptions headings="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ECFA8-2B62-4A0D-A4D5-EAC8DD1FB7DB}">
  <sheetPr codeName="Sheet3"/>
  <dimension ref="A1:J13"/>
  <sheetViews>
    <sheetView zoomScale="130" zoomScaleNormal="130" workbookViewId="0">
      <selection activeCell="G28" sqref="G28"/>
    </sheetView>
  </sheetViews>
  <sheetFormatPr defaultColWidth="8.875" defaultRowHeight="16.5"/>
  <cols>
    <col min="1" max="4" width="9" style="12"/>
    <col min="5" max="6" width="15" style="12" customWidth="1"/>
    <col min="7" max="7" width="17" style="12" customWidth="1"/>
    <col min="8" max="8" width="21.375" style="12" customWidth="1"/>
    <col min="9" max="9" width="28.5" bestFit="1" customWidth="1"/>
  </cols>
  <sheetData>
    <row r="1" spans="1:10" ht="20.25">
      <c r="A1" s="81" t="s">
        <v>38</v>
      </c>
      <c r="B1" s="82"/>
      <c r="C1" s="82"/>
      <c r="D1" s="82"/>
      <c r="E1" s="82"/>
      <c r="F1" s="82"/>
      <c r="G1" s="82"/>
      <c r="H1" s="82"/>
      <c r="I1" s="82"/>
      <c r="J1" s="19"/>
    </row>
    <row r="2" spans="1:10">
      <c r="A2" s="83" t="s">
        <v>30</v>
      </c>
      <c r="B2" s="83"/>
      <c r="C2" s="83"/>
      <c r="D2" s="83"/>
      <c r="E2" s="1" t="s">
        <v>31</v>
      </c>
      <c r="F2" s="2" t="s">
        <v>32</v>
      </c>
      <c r="G2" s="1" t="s">
        <v>33</v>
      </c>
      <c r="H2" s="1" t="s">
        <v>34</v>
      </c>
      <c r="I2" s="1" t="s">
        <v>2</v>
      </c>
    </row>
    <row r="3" spans="1:10">
      <c r="A3" s="66" t="s">
        <v>35</v>
      </c>
      <c r="B3" s="66"/>
      <c r="C3" s="66"/>
      <c r="D3" s="66"/>
      <c r="E3" s="86" t="s">
        <v>42</v>
      </c>
      <c r="F3" s="87"/>
      <c r="G3" s="11">
        <f>COUNTIF('AAS Model Checklist'!F3:F21, TRUE)</f>
        <v>19</v>
      </c>
      <c r="H3" s="11">
        <f>ROUND(G3/G5, 3) * 100</f>
        <v>100</v>
      </c>
      <c r="I3" s="34" t="s">
        <v>63</v>
      </c>
    </row>
    <row r="4" spans="1:10">
      <c r="A4" s="66"/>
      <c r="B4" s="66"/>
      <c r="C4" s="66"/>
      <c r="D4" s="66"/>
      <c r="E4" s="86" t="s">
        <v>41</v>
      </c>
      <c r="F4" s="87"/>
      <c r="G4" s="41">
        <f>'AAS Model Checklist'!B23 - G3</f>
        <v>0</v>
      </c>
      <c r="H4" s="11">
        <f>ROUND(G4/G5, 3) * 100</f>
        <v>0</v>
      </c>
      <c r="I4" s="34" t="s">
        <v>62</v>
      </c>
    </row>
    <row r="5" spans="1:10">
      <c r="A5" s="66"/>
      <c r="B5" s="66"/>
      <c r="C5" s="66"/>
      <c r="D5" s="66"/>
      <c r="E5" s="14" t="s">
        <v>36</v>
      </c>
      <c r="F5" s="15" t="s">
        <v>26</v>
      </c>
      <c r="G5" s="14">
        <f>SUM(G3:G4)</f>
        <v>19</v>
      </c>
      <c r="H5" s="14">
        <f>SUM(H3:H4)</f>
        <v>100</v>
      </c>
      <c r="I5" s="35" t="s">
        <v>68</v>
      </c>
    </row>
    <row r="6" spans="1:10">
      <c r="A6" s="85" t="s">
        <v>37</v>
      </c>
      <c r="B6" s="85"/>
      <c r="C6" s="85"/>
      <c r="D6" s="85"/>
      <c r="E6" s="84" t="s">
        <v>9</v>
      </c>
      <c r="F6" s="11" t="s">
        <v>43</v>
      </c>
      <c r="G6" s="11">
        <f>COUNTIFS('AAS Model Checklist'!C3:C21, "필수", 'AAS Model Checklist'!F3:F21, TRUE)</f>
        <v>16</v>
      </c>
      <c r="H6" s="11">
        <f>ROUND(G6/G10, 3) * 100</f>
        <v>84.2</v>
      </c>
      <c r="I6" s="34" t="s">
        <v>64</v>
      </c>
    </row>
    <row r="7" spans="1:10">
      <c r="A7" s="85"/>
      <c r="B7" s="85"/>
      <c r="C7" s="85"/>
      <c r="D7" s="85"/>
      <c r="E7" s="84"/>
      <c r="F7" s="11" t="s">
        <v>44</v>
      </c>
      <c r="G7" s="11">
        <f>COUNTIFS('AAS Model Checklist'!C3:C21, "필수", 'AAS Model Checklist'!F3:F21, FALSE)</f>
        <v>0</v>
      </c>
      <c r="H7" s="11">
        <f>ROUND(G7/G10, 3) * 100</f>
        <v>0</v>
      </c>
      <c r="I7" s="34" t="s">
        <v>65</v>
      </c>
    </row>
    <row r="8" spans="1:10">
      <c r="A8" s="85"/>
      <c r="B8" s="85"/>
      <c r="C8" s="85"/>
      <c r="D8" s="85"/>
      <c r="E8" s="84" t="s">
        <v>15</v>
      </c>
      <c r="F8" s="11" t="s">
        <v>45</v>
      </c>
      <c r="G8" s="11">
        <f>COUNTIFS('AAS Model Checklist'!C3:C21, "옵션", 'AAS Model Checklist'!F3:F21, TRUE)</f>
        <v>3</v>
      </c>
      <c r="H8" s="11">
        <f>ROUND(G8/G10, 3) * 100</f>
        <v>15.8</v>
      </c>
      <c r="I8" s="34" t="s">
        <v>66</v>
      </c>
    </row>
    <row r="9" spans="1:10">
      <c r="A9" s="85"/>
      <c r="B9" s="85"/>
      <c r="C9" s="85"/>
      <c r="D9" s="85"/>
      <c r="E9" s="84"/>
      <c r="F9" s="11" t="s">
        <v>46</v>
      </c>
      <c r="G9" s="11">
        <f>COUNTIFS('AAS Model Checklist'!C3:C21, "옵션", 'AAS Model Checklist'!F3:F21, FALSE)</f>
        <v>0</v>
      </c>
      <c r="H9" s="11">
        <f>ROUND(G9/G10, 3) * 100</f>
        <v>0</v>
      </c>
      <c r="I9" s="34" t="s">
        <v>67</v>
      </c>
    </row>
    <row r="10" spans="1:10">
      <c r="A10" s="85"/>
      <c r="B10" s="85"/>
      <c r="C10" s="85"/>
      <c r="D10" s="85"/>
      <c r="E10" s="14" t="s">
        <v>36</v>
      </c>
      <c r="F10" s="16" t="s">
        <v>26</v>
      </c>
      <c r="G10" s="14">
        <f>SUM(G6:G9)</f>
        <v>19</v>
      </c>
      <c r="H10" s="14">
        <f>SUM(H6:H9)</f>
        <v>100</v>
      </c>
      <c r="I10" s="35" t="s">
        <v>68</v>
      </c>
    </row>
    <row r="12" spans="1:10">
      <c r="A12" s="80" t="s">
        <v>61</v>
      </c>
      <c r="B12" s="80"/>
      <c r="C12" s="80"/>
      <c r="D12" s="80"/>
      <c r="E12" s="80"/>
      <c r="F12" s="80"/>
      <c r="G12" s="80"/>
      <c r="H12" s="80"/>
      <c r="I12" s="80"/>
    </row>
    <row r="13" spans="1:10">
      <c r="B13" s="33"/>
    </row>
  </sheetData>
  <mergeCells count="9">
    <mergeCell ref="A12:I12"/>
    <mergeCell ref="A1:I1"/>
    <mergeCell ref="A2:D2"/>
    <mergeCell ref="E6:E7"/>
    <mergeCell ref="E8:E9"/>
    <mergeCell ref="A3:D5"/>
    <mergeCell ref="A6:D10"/>
    <mergeCell ref="E3:F3"/>
    <mergeCell ref="E4:F4"/>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FD889-563E-433D-90DF-A5D07DA03AD6}">
  <sheetPr codeName="Sheet4"/>
  <dimension ref="A1:F16"/>
  <sheetViews>
    <sheetView tabSelected="1" zoomScale="85" zoomScaleNormal="85" workbookViewId="0">
      <selection activeCell="I5" sqref="I5:I6"/>
    </sheetView>
  </sheetViews>
  <sheetFormatPr defaultColWidth="8.875" defaultRowHeight="16.5"/>
  <cols>
    <col min="1" max="1" width="17.5" customWidth="1"/>
    <col min="2" max="2" width="14.375" customWidth="1"/>
    <col min="3" max="3" width="13" customWidth="1"/>
    <col min="4" max="4" width="25.5" customWidth="1"/>
    <col min="5" max="5" width="11.5" customWidth="1"/>
    <col min="6" max="6" width="24.375" customWidth="1"/>
  </cols>
  <sheetData>
    <row r="1" spans="1:6" ht="32.25" customHeight="1">
      <c r="A1" s="55" t="s">
        <v>48</v>
      </c>
      <c r="B1" s="56"/>
      <c r="C1" s="56"/>
      <c r="D1" s="56"/>
      <c r="E1" s="56"/>
      <c r="F1" s="56"/>
    </row>
    <row r="2" spans="1:6">
      <c r="A2" s="57" t="s">
        <v>50</v>
      </c>
      <c r="B2" s="52" t="s">
        <v>123</v>
      </c>
      <c r="C2" s="57" t="s">
        <v>49</v>
      </c>
      <c r="D2" s="58" t="s">
        <v>124</v>
      </c>
      <c r="E2" s="60" t="s">
        <v>51</v>
      </c>
      <c r="F2" s="58" t="s">
        <v>125</v>
      </c>
    </row>
    <row r="3" spans="1:6">
      <c r="A3" s="57"/>
      <c r="B3" s="52"/>
      <c r="C3" s="57"/>
      <c r="D3" s="59"/>
      <c r="E3" s="61"/>
      <c r="F3" s="59"/>
    </row>
    <row r="4" spans="1:6" ht="220" customHeight="1">
      <c r="A4" s="30" t="s">
        <v>52</v>
      </c>
      <c r="B4" s="51" t="inlineStr">
        <is>
          <t>스트레쳐 재요구사항 D-04~D-09를 최종 AASX 기준으로 재검토함.
① 동일 파일명·SHA-256으로 계획서·가이던스·검증 및 검토자료를 연결함.
② IDTA 7종 원본 대조 463행에 유지·확장·선택 미적용·허용 표현의 최종 판정과 근거를 기록함. SML 식별 및 참조, MarkingFile 필수 구조를 보완함.
③ 30개 표준 후보 비교를 보완하고 JawOpeningWidth 표준 식별자 적용 및 StraightenedProfileCount 중복 통합을 확인함.
④ Time00=0, RecordCount=1, StartTime=EndTime이며 기존 100 ms/10 Hz 설정을 유지함.
⑤ 최종 후보 AAS Validator 재실행: 70 Passed / 0 Failed. AAS XML 스키마 및 별도 구조 검사도 통과함.</t>
        </is>
      </c>
      <c r="C4" s="52"/>
      <c r="D4" s="52"/>
      <c r="E4" s="52"/>
      <c r="F4" s="52"/>
    </row>
    <row r="5" spans="1:6" ht="90" customHeight="1">
      <c r="A5" s="30" t="s">
        <v>53</v>
      </c>
      <c r="B5" s="50" t="inlineStr">
        <is>
          <t>자동검사 제외 대상인 IDTA 표준 서브모델 7종 내부는 가이던스 부록 A의 원본 대조와 독립 구조 검사로 보완함. 해당 대조 범위의 미확정 항목 없음. 실제 인증 이미지는 Type 예시에 제공하지 않으며 MarkingFile 구조만 복원함.</t>
        </is>
      </c>
      <c r="C5" s="50"/>
      <c r="D5" s="50"/>
      <c r="E5" s="50"/>
      <c r="F5" s="50"/>
    </row>
    <row r="6" spans="1:6" ht="95" customHeight="1">
      <c r="A6" s="30" t="s">
        <v>2</v>
      </c>
      <c r="B6" s="53" t="inlineStr">
        <is>
          <t>기준 파일: Stretcher_v0.0.3.aasx
SHA-256: a5170b50f1cc8fa44b2799b83194bb5654ebddf156ed07527040e90875e7848c
검증일: 2026-10-27 / 결과: 70 Passed, 0 Failed
근거: 스트레쳐_벨리데이터결과.html, 가이던스 부록 A</t>
        </is>
      </c>
      <c r="C6" s="54"/>
      <c r="D6" s="54"/>
      <c r="E6" s="54"/>
      <c r="F6" s="54"/>
    </row>
    <row r="16" spans="1:6">
      <c r="A16" s="49"/>
      <c r="B16" s="49"/>
      <c r="C16" s="49"/>
      <c r="D16" s="49"/>
      <c r="E16" s="49"/>
      <c r="F16" s="49"/>
    </row>
  </sheetData>
  <mergeCells count="11">
    <mergeCell ref="A16:F16"/>
    <mergeCell ref="B5:F5"/>
    <mergeCell ref="B4:F4"/>
    <mergeCell ref="B6:F6"/>
    <mergeCell ref="A1:F1"/>
    <mergeCell ref="A2:A3"/>
    <mergeCell ref="B2:B3"/>
    <mergeCell ref="C2:C3"/>
    <mergeCell ref="D2:D3"/>
    <mergeCell ref="E2:E3"/>
    <mergeCell ref="F2:F3"/>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AAS Model Checklist Information</vt:lpstr>
      <vt:lpstr>AAS Model Checklist</vt:lpstr>
      <vt:lpstr>AAS Model Checklist Result</vt:lpstr>
      <vt:lpstr>Additional Considerations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cp:lastPrinted>2025-02-14T07:07:43Z</cp:lastPrinted>
  <dcterms:created xsi:type="dcterms:W3CDTF">2025-02-14T06:46:23Z</dcterms:created>
  <dcterms:modified xsi:type="dcterms:W3CDTF">2026-10-27T01:37:32Z</dcterms:modified>
</cp:coreProperties>
</file>