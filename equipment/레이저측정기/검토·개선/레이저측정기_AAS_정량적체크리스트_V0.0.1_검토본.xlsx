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ChatGPT\AAS 제작\work_laser_audit_20261010\validator_20261012\"/>
    </mc:Choice>
  </mc:AlternateContent>
  <xr:revisionPtr revIDLastSave="0" documentId="13_ncr:1_{4987E76B-C9A4-46DB-AEA8-86496FD3F9CA}" xr6:coauthVersionLast="47" xr6:coauthVersionMax="47" xr10:uidLastSave="{00000000-0000-0000-0000-000000000000}"/>
  <bookViews>
    <workbookView xWindow="1170" yWindow="1170" windowWidth="27210" windowHeight="11295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definedNames>
    <definedName name="_xlnm.Print_Area" localSheetId="1">'AAS Model Checklist'!$A$1:$G$23</definedName>
    <definedName name="_xlnm.Print_Area" localSheetId="0">'AAS Model Checklist Information'!$A$1:$D$11</definedName>
    <definedName name="_xlnm.Print_Area" localSheetId="2">'AAS Model Checklist Result'!$A$1:$I$12</definedName>
    <definedName name="_xlnm.Print_Area" localSheetId="3">'Additional Considerations'!$A$1:$F$11</definedName>
    <definedName name="_xlnm.Print_Titles" localSheetId="1">'AAS Model Checklist'!$1:$2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 s="1"/>
  <c r="G6" i="3"/>
  <c r="B23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G3" i="3" l="1"/>
  <c r="G4" i="3" s="1"/>
  <c r="G7" i="3"/>
  <c r="G10" i="3" s="1"/>
  <c r="G5" i="3" l="1"/>
  <c r="H5" i="3" l="1"/>
  <c r="H6" i="3"/>
  <c r="H3" i="3"/>
  <c r="H9" i="3"/>
  <c r="H8" i="3"/>
  <c r="H4" i="3"/>
  <c r="H7" i="3"/>
  <c r="H10" i="3"/>
</calcChain>
</file>

<file path=xl/sharedStrings.xml><?xml version="1.0" encoding="utf-8"?>
<sst xmlns="http://schemas.openxmlformats.org/spreadsheetml/2006/main" count="163" uniqueCount="131">
  <si>
    <t>AAS Model Checklist Information</t>
  </si>
  <si>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</si>
  <si>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</si>
  <si>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</si>
  <si>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</si>
  <si>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</si>
  <si>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</si>
  <si>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</si>
  <si>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AAS 모델링시 참조한 표준 및 근거자료에 대한 버전을 확인한다.
예시) CDD 버전, eCl@ss 버전, ETIM 버전 등</t>
  </si>
  <si>
    <t>IRDI 관련 내용</t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</si>
  <si>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</si>
  <si>
    <t>IRI 양식</t>
  </si>
  <si>
    <r>
      <rPr>
        <sz val="11"/>
        <color rgb="FF000000"/>
        <rFont val="맑은 고딕"/>
        <family val="3"/>
      </rPr>
      <t xml:space="preserve">
구조 : 
- Submodel: </t>
    </r>
    <r>
      <rPr>
        <u/>
        <sz val="11"/>
        <color rgb="FF000000"/>
        <rFont val="맑은 고딕"/>
        <family val="3"/>
      </rPr>
      <t xml:space="preserve">KOSMO 홈페이지주소/ids/sm/AAS명/Submodel명/version
</t>
    </r>
    <r>
      <rPr>
        <sz val="11"/>
        <color rgb="FF000000"/>
        <rFont val="Calibri"/>
        <family val="3"/>
        <scheme val="minor"/>
      </rPr>
      <t xml:space="preserve">예시) https://www.smart-factory.kr/ids/sm/ACB/TechnicalData/1/0
- Submodel 외 항목: </t>
    </r>
    <r>
      <rPr>
        <u/>
        <sz val="11"/>
        <color rgb="FF000000"/>
        <rFont val="Calibri"/>
        <family val="3"/>
        <scheme val="minor"/>
      </rPr>
      <t xml:space="preserve">KOSMO 홈페이지주소/ids/카테고리/변수명/version
</t>
    </r>
    <r>
      <rPr>
        <sz val="11"/>
        <color rgb="FF000000"/>
        <rFont val="Calibri"/>
        <family val="3"/>
        <scheme val="minor"/>
      </rPr>
      <t xml:space="preserve">예시) https://www.smart-factory.kr/ids/cd/TypeOfActuator/1/0
       https://www.smart-factory.kr/ids/aas/ACB/1/0
</t>
    </r>
    <r>
      <rPr>
        <sz val="11"/>
        <color rgb="FF000000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1"/>
        <color rgb="FF000000"/>
        <rFont val="맑은 고딕"/>
        <family val="2"/>
      </rPr>
      <t>* AAS와 Submodel에 한하여 administration에 버전 정보를 입력하고 ID 뒷부분 '/version' 과 일치 시킬것</t>
    </r>
    <r>
      <rPr>
        <sz val="11"/>
        <color rgb="FF000000"/>
        <rFont val="맑은 고딕"/>
        <family val="3"/>
      </rPr>
      <t xml:space="preserve">
</t>
    </r>
    <r>
      <rPr>
        <sz val="11"/>
        <color rgb="FF000000"/>
        <rFont val="Calibri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</si>
  <si>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</si>
  <si>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1"/>
        <color rgb="FF0070C0"/>
        <rFont val="Calibri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1"/>
        <color rgb="FF0070C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1"/>
        <color rgb="FF0070C0"/>
        <rFont val="Calibri"/>
        <family val="2"/>
        <scheme val="minor"/>
      </rPr>
      <t xml:space="preserve">
</t>
    </r>
  </si>
  <si>
    <t>TechnicalData와 OperationalData의 목적별 2단계 계층 확인. 단순한 빈 중간 묶음으로 단계 수를 맞추지 않음.</t>
  </si>
  <si>
    <t>체크리스트
참조/공통체크사항</t>
  </si>
  <si>
    <t>idShort 설정여부</t>
  </si>
  <si>
    <r>
      <rPr>
        <sz val="11"/>
        <color rgb="FF000000"/>
        <rFont val="맑은 고딕"/>
        <family val="3"/>
      </rPr>
      <t>idShort가 설정되어 있는지 확인한다.
* Naming rule/Convention (권고사항)
① 공백, 특수문</t>
    </r>
    <r>
      <rPr>
        <sz val="11"/>
        <color rgb="FF000000"/>
        <rFont val="Calibri"/>
        <family val="3"/>
        <scheme val="minor"/>
      </rPr>
      <t xml:space="preserve">자(‘_’, underbar, </t>
    </r>
    <r>
      <rPr>
        <sz val="11"/>
        <color rgb="FF000000"/>
        <rFont val="맑은 고딕"/>
        <family val="3"/>
      </rPr>
      <t xml:space="preserve">‘-‘, hyphen </t>
    </r>
    <r>
      <rPr>
        <sz val="11"/>
        <color rgb="FF000000"/>
        <rFont val="Calibri"/>
        <family val="3"/>
        <scheme val="minor"/>
      </rPr>
      <t>제외)를</t>
    </r>
    <r>
      <rPr>
        <sz val="11"/>
        <color rgb="FF000000"/>
        <rFont val="Calibri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</si>
  <si>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</si>
  <si>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</si>
  <si>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</si>
  <si>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</si>
  <si>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</si>
  <si>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rPr>
        <sz val="11"/>
        <color rgb="FF000000"/>
        <rFont val="맑은 고딕"/>
        <family val="3"/>
      </rP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1"/>
        <color rgb="FF000000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1"/>
        <color rgb="FF000000"/>
        <rFont val="Calibri"/>
        <family val="3"/>
        <scheme val="minor"/>
      </rPr>
      <t xml:space="preserve">
</t>
    </r>
    <r>
      <rPr>
        <b/>
        <sz val="11"/>
        <color rgb="FF000000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1"/>
        <color rgb="FF000000"/>
        <rFont val="맑은 고딕"/>
        <family val="3"/>
      </rPr>
      <t xml:space="preserve">
</t>
    </r>
    <r>
      <rPr>
        <sz val="11"/>
        <color rgb="FF000000"/>
        <rFont val="맑은 고딕"/>
        <family val="2"/>
      </rPr>
      <t>⑤ 모</t>
    </r>
    <r>
      <rPr>
        <sz val="11"/>
        <color rgb="FF000000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</si>
  <si>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번호</t>
  </si>
  <si>
    <t>중요도</t>
  </si>
  <si>
    <t>체크사항</t>
  </si>
  <si>
    <t>체크</t>
  </si>
  <si>
    <t>비고 (검토의견)</t>
  </si>
  <si>
    <t>충족 집계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</si>
  <si>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</si>
  <si>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</si>
  <si>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</si>
  <si>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</si>
  <si>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공통</t>
  </si>
  <si>
    <t>idShort가 설정되어 있는지 확인한다.</t>
  </si>
  <si>
    <t>충족. AAS·서브모델 및 일반 하위 요소의 idShort 확인. SML 직접 하위의 무명 항목은 목록 위치로 식별하는 표준 예외임.</t>
  </si>
  <si>
    <t>idShort 명명규칙</t>
  </si>
  <si>
    <r>
      <rPr>
        <b/>
        <sz val="11"/>
        <color rgb="FF000000"/>
        <rFont val="맑은 고딕"/>
        <family val="3"/>
      </rPr>
      <t>idShort가 정의된 양식을 준수하고 있는지 확인한다.
※ 예외사항</t>
    </r>
    <r>
      <rPr>
        <b/>
        <sz val="11"/>
        <color rgb="FF000000"/>
        <rFont val="Calibri"/>
        <family val="3"/>
        <scheme val="minor"/>
      </rPr>
      <t xml:space="preserve">
</t>
    </r>
    <r>
      <rPr>
        <b/>
        <sz val="11"/>
        <color rgb="FF00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</si>
  <si>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충족. 동일 계층 idShort 중복 0건. SML 직접 하위의 [0] 표기는 문서의 위치 표시이며 실제 idShort가 아님.</t>
  </si>
  <si>
    <t>AAS</t>
  </si>
  <si>
    <r>
      <rPr>
        <sz val="11"/>
        <color rgb="FF000000"/>
        <rFont val="맑은 고딕"/>
        <family val="3"/>
      </rPr>
      <t xml:space="preserve">각 항목의 Id 양식을 확인하고, IRDI 형식인지 IRI 형식인지 구분한다.
IRI인 경우, 정해진 양식을 준수하고 있는지 확인한다.
</t>
    </r>
    <r>
      <rPr>
        <b/>
        <sz val="11"/>
        <color rgb="FF000000"/>
        <rFont val="맑은 고딕"/>
        <family val="3"/>
      </rPr>
      <t>* administration에 버전 정보를 입력하고 ID 뒷부분 '/version' 과 일치 시킬것</t>
    </r>
  </si>
  <si>
    <t>충족. AAS의 장비별 IRI와 administration version/revision 및 ID 끝 버전 일치. 제출 파일 버전 V0.0.1은 IDTA 템플릿 버전과 별도 관리.</t>
  </si>
  <si>
    <t>Submodel 구성</t>
  </si>
  <si>
    <r>
      <rPr>
        <sz val="11"/>
        <color rgb="FF000000"/>
        <rFont val="맑은 고딕"/>
        <family val="3"/>
      </rPr>
      <t>AAS 모델링에서 필수적인 성격을 지닌 아래의 4가지 Submodel이 포함되어 있으며</t>
    </r>
    <r>
      <rPr>
        <b/>
        <sz val="11"/>
        <color rgb="FF000000"/>
        <rFont val="Calibri"/>
        <family val="3"/>
        <scheme val="minor"/>
      </rPr>
      <t xml:space="preserve"> 총 6종 이상 8종 이하의 Submodel로 구성되어 있는지 확인한다.</t>
    </r>
    <r>
      <rPr>
        <sz val="11"/>
        <color rgb="FF000000"/>
        <rFont val="Calibri"/>
        <family val="3"/>
        <scheme val="minor"/>
      </rPr>
      <t xml:space="preserve">
① </t>
    </r>
    <r>
      <rPr>
        <b/>
        <sz val="11"/>
        <color rgb="FF000000"/>
        <rFont val="Calibri"/>
        <family val="3"/>
        <scheme val="minor"/>
      </rPr>
      <t>Digital Nameplate</t>
    </r>
    <r>
      <rPr>
        <sz val="11"/>
        <color rgb="FF000000"/>
        <rFont val="Calibri"/>
        <family val="3"/>
        <scheme val="minor"/>
      </rPr>
      <t xml:space="preserve">, ② </t>
    </r>
    <r>
      <rPr>
        <b/>
        <sz val="11"/>
        <color rgb="FF000000"/>
        <rFont val="맑은 고딕"/>
        <family val="3"/>
      </rPr>
      <t>Handover Documentation,</t>
    </r>
    <r>
      <rPr>
        <sz val="11"/>
        <color rgb="FF000000"/>
        <rFont val="Calibri"/>
        <family val="3"/>
        <scheme val="minor"/>
      </rPr>
      <t xml:space="preserve">
③ Technical Data, ④ </t>
    </r>
    <r>
      <rPr>
        <sz val="11"/>
        <color rgb="FF000000"/>
        <rFont val="맑은 고딕"/>
        <family val="3"/>
      </rPr>
      <t>Operational Data</t>
    </r>
  </si>
  <si>
    <t>충족. 필수 Nameplate·HandoverDocumentation·TechnicalData·OperationalData 포함 총 7개. 추가 3개는 TimeSeries·Reliability·PredictiveMaintenance.</t>
  </si>
  <si>
    <t>옵션</t>
  </si>
  <si>
    <t>globalAssetId 여부</t>
  </si>
  <si>
    <t>globalAssetId가 설정되어 있는지 확인한다.</t>
  </si>
  <si>
    <t>충족. 장비명·예시 모델명 EX-LM-100을 포함한 globalAssetId 설정. Nameplate URIOfTheProduct와 일치.</t>
  </si>
  <si>
    <t>Type종류</t>
  </si>
  <si>
    <t>'kind'가 'Type'으로 지정되어 있는지 확인한다.</t>
  </si>
  <si>
    <t>충족. assetInformation/assetKind=Type. 실제 개별 장비가 아닌 유형 참조모델.</t>
  </si>
  <si>
    <t>Submodel</t>
  </si>
  <si>
    <t>최신 Version 여부</t>
  </si>
  <si>
    <t>IDTA 서브모델 템플릿을 활용하는 경우, 최신 버전의 템플릿을 사용하고 있는지 확인한다.</t>
  </si>
  <si>
    <t>충족. Nameplate 3.0.2, HandoverDocumentation 2.0.2, TechnicalData 2.0.2, TimeSeries 1.1.2, Reliability 1.0.2, PredictiveMaintenance 1.0. reference버전 2 보관 원본 기준(2026-10-07).</t>
  </si>
  <si>
    <t>충족. 7개 서브모델 ID는 LaserDisplacementSensorAAS 및 각 서브모델 이름을 포함. administration의 version/revision과 ID 끝부분 일치.</t>
  </si>
  <si>
    <t>Semantic ID</t>
  </si>
  <si>
    <r>
      <rPr>
        <sz val="11"/>
        <color rgb="FF000000"/>
        <rFont val="맑은 고딕"/>
        <family val="3"/>
      </rPr>
      <t xml:space="preserve">Semantic ID가 작성되어 있는지 확인한다. 
</t>
    </r>
    <r>
      <rPr>
        <sz val="11"/>
        <color rgb="FF000000"/>
        <rFont val="맑은 고딕"/>
        <family val="3"/>
      </rPr>
      <t>표준 서브모델이 아닌 경우, 적절한 형식의 IRI 식별자인지 확인한다.</t>
    </r>
  </si>
  <si>
    <t>충족. 공식 6개 서브모델 semanticId는 해당 IDTA 원본 유지. OperationalData는 장비별 자체 IRI 사용.</t>
  </si>
  <si>
    <t>kind</t>
  </si>
  <si>
    <t>'kind'가 'Template'으로 지정되어 있는지 확인한다</t>
  </si>
  <si>
    <t>충족. 7개 서브모델 모두 kind=Template.</t>
  </si>
  <si>
    <t>계층 세분화</t>
  </si>
  <si>
    <r>
      <rPr>
        <b/>
        <sz val="11"/>
        <color rgb="FF000000"/>
        <rFont val="맑은 고딕"/>
        <family val="3"/>
      </rP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1"/>
        <color rgb="FF00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</si>
  <si>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>충족. TechnicalPropertyAreas 이후 PerformanceSpecification→MeasurementCapability 등 목적별 2단계 구성. 운전은 LaserMeasurementOperationData→OperationState/MeasurementMonitoring/AlarmMonitoring/LifetimeCounters로 구분.</t>
  </si>
  <si>
    <t xml:space="preserve">SME
(Submodel Element) </t>
  </si>
  <si>
    <t>특수 SME 배제 여부</t>
  </si>
  <si>
    <r>
      <rPr>
        <b/>
        <sz val="11"/>
        <color rgb="FF000000"/>
        <rFont val="맑은 고딕"/>
        <family val="3"/>
      </rPr>
      <t xml:space="preserve">AAS 참조모델 개발 시 사용을 지양하는 Operation, BasicEventElement, </t>
    </r>
    <r>
      <rPr>
        <b/>
        <sz val="11"/>
        <color rgb="FF000000"/>
        <rFont val="맑은 고딕"/>
        <family val="3"/>
      </rPr>
      <t xml:space="preserve">Capability </t>
    </r>
    <r>
      <rPr>
        <b/>
        <sz val="11"/>
        <color rgb="FF000000"/>
        <rFont val="Calibri"/>
        <family val="3"/>
        <scheme val="minor"/>
      </rPr>
      <t>엘리먼트가 사용되지 않았는지 확인한다.</t>
    </r>
  </si>
  <si>
    <t>충족. Operation·BasicEventElement·Capability 0개.</t>
  </si>
  <si>
    <t>Concept Description 매핑여부</t>
  </si>
  <si>
    <t xml:space="preserve">Submodel Elements가 Concept Description과 올바르게 매핑되어 있는지 확인한다 </t>
  </si>
  <si>
    <t>SME 중
Property</t>
  </si>
  <si>
    <t>value 값 여부</t>
  </si>
  <si>
    <r>
      <rPr>
        <b/>
        <sz val="11"/>
        <color rgb="FF000000"/>
        <rFont val="맑은 고딕"/>
        <family val="3"/>
      </rPr>
      <t xml:space="preserve">value값에 Example Data가 기입 되었는지 확인한다. 
</t>
    </r>
    <r>
      <rPr>
        <b/>
        <sz val="11"/>
        <color rgb="FF000000"/>
        <rFont val="맑은 고딕"/>
        <family val="3"/>
      </rPr>
      <t>* DigitalNameplate, HandoverDocumentation 제외</t>
    </r>
  </si>
  <si>
    <t>충족. Property 180개·MLP 38개·Range 5개를 포함한 값 요소 점검에서 빈 예시값 0건. 정격·현재값·이력·신뢰성·예지보전 값과 단위를 구분.</t>
  </si>
  <si>
    <t>Concept Description과 
data type 매칭여부</t>
  </si>
  <si>
    <t>valueType이 설정되어야 하며, 
연결된 Concept Description의 dataType과 매칭되는 데이터 타입으로 설정되어야 한다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</si>
  <si>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</si>
  <si>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</si>
  <si>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definition 여부</t>
  </si>
  <si>
    <t>해당 항목에 대한 definition이 작성되어 있는지 확인한다.
* description이 작성되어 있는 경우도 포함</t>
  </si>
  <si>
    <t>dataType 설정여부</t>
  </si>
  <si>
    <t>Concept Description의 dataType이 설정되어 있는지 확인한다
* eCl@ss/CDD에서 dataType이 정의되어 있지 않은 경우는 제외</t>
  </si>
  <si>
    <t>충족(공식 원본 예외 적용). 값 요소에 필요한 CD dataType 확인. 구조 요소나 공식 원본에서 dataType을 정의하지 않은 항목은 체크리스트 예외 기준 적용.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</si>
  <si>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</si>
  <si>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</si>
  <si>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EQ07 레이저측정기 — 정량적 검토 결과</t>
  </si>
  <si>
    <t>분류</t>
  </si>
  <si>
    <t>기준항목</t>
  </si>
  <si>
    <t>세부항목</t>
  </si>
  <si>
    <t>개수</t>
  </si>
  <si>
    <t>%</t>
  </si>
  <si>
    <t>단순통계</t>
  </si>
  <si>
    <t>충족</t>
  </si>
  <si>
    <t>체크사항 충족 항목</t>
  </si>
  <si>
    <t>미확정</t>
  </si>
  <si>
    <t>보완필요 또는 확인필요</t>
  </si>
  <si>
    <t>-</t>
  </si>
  <si>
    <t>총 체크사항</t>
  </si>
  <si>
    <t>'중요도'기준 통계</t>
  </si>
  <si>
    <r>
      <rPr>
        <sz val="11"/>
        <color rgb="FF000000"/>
        <rFont val="맑은 고딕"/>
        <family val="3"/>
      </rPr>
      <t xml:space="preserve">"필수" 中 </t>
    </r>
    <r>
      <rPr>
        <sz val="11"/>
        <color rgb="FF000000"/>
        <rFont val="Wingdings"/>
        <family val="2"/>
      </rPr>
      <t></t>
    </r>
  </si>
  <si>
    <t>필수 체크사항 충족 항목</t>
  </si>
  <si>
    <r>
      <rPr>
        <sz val="11"/>
        <color rgb="FF000000"/>
        <rFont val="맑은 고딕"/>
        <family val="3"/>
      </rPr>
      <t xml:space="preserve">"필수" 中 </t>
    </r>
    <r>
      <rPr>
        <sz val="11"/>
        <color rgb="FF000000"/>
        <rFont val="Wingdings"/>
        <family val="2"/>
      </rPr>
      <t></t>
    </r>
  </si>
  <si>
    <t>필수 보완/확인 대기</t>
  </si>
  <si>
    <r>
      <rPr>
        <sz val="11"/>
        <color rgb="FF000000"/>
        <rFont val="맑은 고딕"/>
        <family val="3"/>
      </rPr>
      <t xml:space="preserve">"옵션" 中 </t>
    </r>
    <r>
      <rPr>
        <sz val="11"/>
        <color rgb="FF000000"/>
        <rFont val="Wingdings"/>
        <family val="2"/>
      </rPr>
      <t></t>
    </r>
  </si>
  <si>
    <t>옵션 체크사항 충족 항목</t>
  </si>
  <si>
    <r>
      <rPr>
        <sz val="11"/>
        <color rgb="FF000000"/>
        <rFont val="맑은 고딕"/>
        <family val="3"/>
      </rPr>
      <t xml:space="preserve">"옵션" 中 </t>
    </r>
    <r>
      <rPr>
        <sz val="11"/>
        <color rgb="FF000000"/>
        <rFont val="Wingdings"/>
        <family val="2"/>
      </rPr>
      <t></t>
    </r>
  </si>
  <si>
    <t>옵션 보완/확인 대기</t>
  </si>
  <si>
    <t>판정 근거</t>
  </si>
  <si>
    <t>집계 의미</t>
  </si>
  <si>
    <t>최종 AASX</t>
  </si>
  <si>
    <t>Validator 증빙</t>
  </si>
  <si>
    <t>공식 원본 예외</t>
  </si>
  <si>
    <t>공식 원본 보존 예외: 내부 CD 미포함 표준 SME 경로 8개(Nameplate 5·PredictiveMaintenance 3), xs:double/CD STRING 차이 9개(Property 7·Range 2)는 배포 원본에도 동일함. 공식 식별자·자료형을 임의 변경하지 않음. 이는 이번 Validator의 Failed나 오판 발생을 뜻하지 않으며, 자동검사 제외 영역의 수동 검토 근거임.</t>
  </si>
  <si>
    <t>충족. defaultThumbnail과 TechnicalData ProductImages/ImageFile이 /aasx/Thumbnail.png의 동일한 삼각측량식 센서 예시 이미지를 가리킨다. 첨부파일 존재 및 image/png 확인.</t>
  </si>
  <si>
    <t>충족(공식 원본 예외 적용). ECLASS 16.0 PR/UN 자료와 정의·자료형·단위를 대조하여 파장 AAZ225#004(REAL_MEASURE/nm), 레이저 등급 BAF573#011(STRING), 보호등급 BAG975#017(STRING)을 적용했다. 파장 값은 xs:double 405이다. IDTA 원본 CD는 보존했다. PM 원본의 숫자형 SME/CD STRING 차이 9곳은 임의 보정하지 않았다.</t>
  </si>
  <si>
    <t>충족. ECLASS 16.0 PR/UN 자료와 정의·자료형·단위를 대조하여 파장 AAZ225#004(REAL_MEASURE/nm), 레이저 등급 BAF573#011(STRING), 보호등급 BAG975#017(STRING)을 적용했다. 파장 값은 xs:double 405이다. IDTA 원본 CD는 보존했다. ECLASS 16.0 Optical distance sensor, 27-27-09-16, 0173-1#01-AGZ394#023 적용. KWSY의 Laser triangulation sensor 키워드가 측정 원리와 일치한다. CC의 변속기 Definition은 원본 자료 이상으로 명시했으며 완전 일치라 주장하지 않는다. AGZ388#021은 코드 레일·테이프 방식이므로 배제했다.</t>
  </si>
  <si>
    <t>충족. 자체 CD의 정의와 SME의 쉬운 한국어 설명을 동기화했다. 측정 대상·기준 조건·단위·값의 용도를 명시하고, 공식 IDTA CD 자체는 수정하지 않았다.</t>
  </si>
  <si>
    <t>KTL D-01~D-13과 현재 AASX·계획서·가이던스 대조. 표준사전은 제공된 ECLASS 16.0 PR/UN/CC/KWSY 파일을 사용했다. 검토자 성명 공란.</t>
  </si>
  <si>
    <t>LaserMeasuringInstrument_AAS_V0.0.1.aasx
SHA-256: 4114433a9964cf96d8a6f2d92003e41c7e087a455a4cb38acdf58108f5f9edb6
AAS 1 / Submodel 7 / SME 341 / CD 238</t>
  </si>
  <si>
    <t>검토 기준: LaserMeasuringInstrument_AAS_V0.0.1.aasx / 2026-10-12. 검토자: 공란.</t>
  </si>
  <si>
    <t>EQ07 레이저측정기 정량적 검토 — V0.0.1 / 2026-10-12</t>
  </si>
  <si>
    <t>충족(공식 원본 보존 예외 적용). CD 238개. 표준 SME 미매핑 8곳과 PM 자료형 차이 9곳은 IDTA 원본과 동일하다. ECLASS 속성 3종은 공식 정의·자료형·단위와 대조했다. 최종 Validator 70 Passed·0 Failed. 표준 6종은 자동검사 제외로 수동 대조 근거를 유지한다.</t>
  </si>
  <si>
    <t>최종본의 정량 기준 19/19 충족. 20261012212903_test_result.html에서 70 Passed·0 Failed 확인. 검사 제외 표준 6종은 공식 원본 수동 대조 근거로 판정한다.</t>
  </si>
  <si>
    <t>19개 정량 기준의 내용 판정 집계이며 Validator 통과율이 아니다. 공식 원본 보존 예외를 포함한다. 최종본 재검증: 20261012212903_test_result.html, 70 Passed·0 Failed.</t>
  </si>
  <si>
    <t>추가 검토사항 — 2026-10-12 최종 검증 결과 반영</t>
  </si>
  <si>
    <t>정량 기준 19/19 충족. 최종본 Validator 70 Passed·0 Failed를 확인하여 정성 #3도 기준충족으로 갱신했다. 자동검사 제외 영역은 기존 공식 원본 수동 대조 근거를 유지한다.</t>
  </si>
  <si>
    <t>20261012212903_test_result.html: LaserMeasuringInstrument_AAS_V0.0.1.aasx 검사 결과 70 Passed·0 Failed. 2026-10-12 최종본 재검증 완료. 검사 제외된 공식 IDTA 서브모델 6종(HandoverDocumentation, Nameplate, PredictiveMaintenance, Reliability, TechnicalData, TimeSeries)은 기존 공식 원본 수동 대조 근거를 유지하며 자동검사 통과와 구분한다.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</si>
</sst>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</font>
    <font>
      <sz val="11"/>
      <color theme="1"/>
      <name val="맑은 고딕"/>
      <family val="3"/>
    </font>
    <font>
      <b/>
      <sz val="10"/>
      <color theme="0"/>
      <name val="맑은 고딕"/>
      <family val="3"/>
    </font>
    <font>
      <sz val="10"/>
      <color theme="1"/>
      <name val="맑은 고딕"/>
      <family val="3"/>
    </font>
    <font>
      <b/>
      <sz val="10"/>
      <color theme="1"/>
      <name val="맑은 고딕"/>
      <family val="3"/>
    </font>
    <font>
      <sz val="10"/>
      <color rgb="FF000000"/>
      <name val="맑은 고딕"/>
      <family val="3"/>
    </font>
    <font>
      <sz val="10"/>
      <color theme="1"/>
      <name val="Arial Unicode MS"/>
    </font>
    <font>
      <sz val="10"/>
      <color theme="1"/>
      <name val="맑은 고딕"/>
      <family val="3"/>
    </font>
    <font>
      <b/>
      <sz val="14"/>
      <color theme="0"/>
      <name val="맑은 고딕"/>
      <family val="3"/>
    </font>
    <font>
      <sz val="10"/>
      <color theme="1"/>
      <name val="Wingdings"/>
      <charset val="2"/>
    </font>
    <font>
      <sz val="10"/>
      <color theme="1"/>
      <name val="맑은 고딕"/>
      <family val="3"/>
    </font>
    <font>
      <sz val="11"/>
      <color rgb="FF00B050"/>
      <name val="맑은 고딕"/>
      <family val="3"/>
    </font>
    <font>
      <sz val="10"/>
      <color rgb="FF00B050"/>
      <name val="맑은 고딕"/>
      <family val="3"/>
    </font>
    <font>
      <sz val="11"/>
      <color rgb="FF00B050"/>
      <name val="맑은 고딕"/>
      <family val="3"/>
    </font>
    <font>
      <sz val="11"/>
      <name val="맑은 고딕"/>
      <family val="3"/>
    </font>
    <font>
      <b/>
      <sz val="11"/>
      <color theme="1"/>
      <name val="맑은 고딕"/>
      <family val="3"/>
    </font>
    <font>
      <sz val="10"/>
      <color theme="1"/>
      <name val="맑은 고딕"/>
      <family val="3"/>
    </font>
    <font>
      <b/>
      <sz val="10"/>
      <color theme="1"/>
      <name val="Arial Unicode MS"/>
    </font>
    <font>
      <b/>
      <sz val="10"/>
      <color rgb="FF0070C0"/>
      <name val="맑은 고딕"/>
      <family val="3"/>
    </font>
    <font>
      <b/>
      <sz val="10"/>
      <color rgb="FFFF0000"/>
      <name val="맑은 고딕"/>
      <family val="3"/>
    </font>
    <font>
      <sz val="11"/>
      <color rgb="FF000000"/>
      <name val="맑은 고딕"/>
      <family val="3"/>
    </font>
    <font>
      <u/>
      <sz val="11"/>
      <color rgb="FF000000"/>
      <name val="맑은 고딕"/>
      <family val="3"/>
    </font>
    <font>
      <sz val="11"/>
      <color rgb="FF000000"/>
      <name val="Calibri"/>
      <family val="3"/>
      <scheme val="minor"/>
    </font>
    <font>
      <u/>
      <sz val="11"/>
      <color rgb="FF000000"/>
      <name val="Calibri"/>
      <family val="3"/>
      <scheme val="minor"/>
    </font>
    <font>
      <b/>
      <sz val="11"/>
      <color rgb="FF000000"/>
      <name val="맑은 고딕"/>
      <family val="2"/>
    </font>
    <font>
      <b/>
      <sz val="11"/>
      <color rgb="FF0070C0"/>
      <name val="Calibri"/>
      <family val="3"/>
      <scheme val="minor"/>
    </font>
    <font>
      <b/>
      <sz val="11"/>
      <color rgb="FF0070C0"/>
      <name val="맑은 고딕"/>
      <family val="3"/>
    </font>
    <font>
      <b/>
      <sz val="11"/>
      <color rgb="FF0070C0"/>
      <name val="Calibri"/>
      <family val="2"/>
      <scheme val="minor"/>
    </font>
    <font>
      <b/>
      <sz val="11"/>
      <color rgb="FF000000"/>
      <name val="맑은 고딕"/>
      <family val="3"/>
    </font>
    <font>
      <sz val="11"/>
      <color rgb="FF000000"/>
      <name val="맑은 고딕"/>
      <family val="2"/>
    </font>
    <font>
      <b/>
      <sz val="11"/>
      <color rgb="FF000000"/>
      <name val="Calibri"/>
      <family val="3"/>
      <scheme val="minor"/>
    </font>
    <font>
      <sz val="11"/>
      <color rgb="FF000000"/>
      <name val="Wingdings"/>
      <family val="2"/>
    </font>
    <font>
      <b/>
      <sz val="11"/>
      <color theme="0"/>
      <name val="맑은 고딕"/>
      <family val="3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79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tabSelected="1" workbookViewId="0">
      <selection sqref="A1:D1"/>
    </sheetView>
  </sheetViews>
  <sheetFormatPr defaultColWidth="8.875" defaultRowHeight="16.5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875" customWidth="1"/>
    <col min="6" max="6" width="8.875" style="17" customWidth="1"/>
  </cols>
  <sheetData>
    <row r="1" spans="1:6" ht="20.25">
      <c r="A1" s="46" t="s">
        <v>0</v>
      </c>
      <c r="B1" s="47"/>
      <c r="C1" s="47"/>
      <c r="D1" s="48"/>
    </row>
    <row r="2" spans="1:6">
      <c r="A2" s="1" t="s">
        <v>1</v>
      </c>
      <c r="B2" s="1" t="s">
        <v>2</v>
      </c>
      <c r="C2" s="2" t="s">
        <v>3</v>
      </c>
      <c r="D2" s="1" t="s">
        <v>4</v>
      </c>
    </row>
    <row r="3" spans="1:6" ht="60" customHeight="1">
      <c r="A3" s="53" t="s">
        <v>5</v>
      </c>
      <c r="B3" s="51" t="s">
        <v>6</v>
      </c>
      <c r="C3" s="52"/>
      <c r="D3" s="33" t="s">
        <v>123</v>
      </c>
    </row>
    <row r="4" spans="1:6" ht="51" customHeight="1">
      <c r="A4" s="54"/>
      <c r="B4" s="4" t="s">
        <v>7</v>
      </c>
      <c r="C4" s="5" t="s">
        <v>8</v>
      </c>
      <c r="D4" s="8"/>
    </row>
    <row r="5" spans="1:6" ht="78" customHeight="1">
      <c r="A5" s="54"/>
      <c r="B5" s="9" t="s">
        <v>9</v>
      </c>
      <c r="C5" s="5" t="s">
        <v>10</v>
      </c>
      <c r="D5" s="8"/>
    </row>
    <row r="6" spans="1:6" ht="328.5">
      <c r="A6" s="54"/>
      <c r="B6" s="4" t="s">
        <v>11</v>
      </c>
      <c r="C6" s="5" t="s">
        <v>12</v>
      </c>
      <c r="D6" s="4"/>
      <c r="F6" s="18"/>
    </row>
    <row r="7" spans="1:6" ht="182.45" customHeight="1">
      <c r="A7" s="55"/>
      <c r="B7" s="8" t="s">
        <v>13</v>
      </c>
      <c r="C7" s="32" t="s">
        <v>14</v>
      </c>
      <c r="D7" s="9" t="s">
        <v>15</v>
      </c>
      <c r="F7" s="18"/>
    </row>
    <row r="8" spans="1:6" ht="111">
      <c r="A8" s="49" t="s">
        <v>16</v>
      </c>
      <c r="B8" s="4" t="s">
        <v>17</v>
      </c>
      <c r="C8" s="6" t="s">
        <v>18</v>
      </c>
      <c r="D8" s="4"/>
    </row>
    <row r="9" spans="1:6" ht="61.5" customHeight="1">
      <c r="A9" s="50"/>
      <c r="B9" s="4" t="s">
        <v>19</v>
      </c>
      <c r="C9" s="5" t="s">
        <v>20</v>
      </c>
      <c r="D9" s="4"/>
    </row>
    <row r="10" spans="1:6" ht="94.5">
      <c r="A10" s="50"/>
      <c r="B10" s="4" t="s">
        <v>21</v>
      </c>
      <c r="C10" s="34" t="s">
        <v>22</v>
      </c>
      <c r="D10" s="4"/>
    </row>
    <row r="11" spans="1:6" ht="312">
      <c r="A11" s="50"/>
      <c r="B11" s="4" t="s">
        <v>23</v>
      </c>
      <c r="C11" s="30" t="s">
        <v>24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33" type="noConversion"/>
  <pageMargins left="0.25" right="0.25" top="0.33333333333333331" bottom="0.33333333333333331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showGridLines="0" workbookViewId="0"/>
  </sheetViews>
  <sheetFormatPr defaultColWidth="8.875" defaultRowHeight="16.5"/>
  <cols>
    <col min="1" max="1" width="17.5" style="12" customWidth="1"/>
    <col min="2" max="2" width="4.5" style="12" customWidth="1"/>
    <col min="3" max="3" width="6.375" style="12" customWidth="1"/>
    <col min="4" max="4" width="26.5" style="12" customWidth="1"/>
    <col min="5" max="5" width="71.375" style="12" customWidth="1"/>
    <col min="6" max="6" width="10" style="12" customWidth="1"/>
    <col min="7" max="7" width="88" style="26" customWidth="1"/>
    <col min="8" max="8" width="12" customWidth="1"/>
    <col min="9" max="9" width="107.375" style="19" customWidth="1"/>
    <col min="10" max="10" width="13" style="20" customWidth="1"/>
    <col min="11" max="11" width="39.5" customWidth="1"/>
  </cols>
  <sheetData>
    <row r="1" spans="1:11" ht="20.25">
      <c r="A1" s="59" t="s">
        <v>124</v>
      </c>
      <c r="B1" s="47"/>
      <c r="C1" s="47"/>
      <c r="D1" s="47"/>
      <c r="E1" s="47"/>
      <c r="F1" s="47"/>
      <c r="G1" s="48"/>
      <c r="I1" s="25"/>
      <c r="K1" s="20"/>
    </row>
    <row r="2" spans="1:11">
      <c r="A2" s="1" t="s">
        <v>1</v>
      </c>
      <c r="B2" s="1" t="s">
        <v>25</v>
      </c>
      <c r="C2" s="1" t="s">
        <v>26</v>
      </c>
      <c r="D2" s="1" t="s">
        <v>27</v>
      </c>
      <c r="E2" s="2" t="s">
        <v>3</v>
      </c>
      <c r="F2" s="2" t="s">
        <v>28</v>
      </c>
      <c r="G2" s="2" t="s">
        <v>29</v>
      </c>
      <c r="H2" t="s">
        <v>30</v>
      </c>
      <c r="K2" s="21"/>
    </row>
    <row r="3" spans="1:11" ht="80.099999999999994" customHeight="1">
      <c r="A3" s="3" t="s">
        <v>31</v>
      </c>
      <c r="B3" s="4">
        <v>1</v>
      </c>
      <c r="C3" s="4" t="s">
        <v>32</v>
      </c>
      <c r="D3" s="4" t="s">
        <v>33</v>
      </c>
      <c r="E3" s="38" t="s">
        <v>34</v>
      </c>
      <c r="F3" s="15" t="b">
        <v>1</v>
      </c>
      <c r="G3" s="40" t="s">
        <v>117</v>
      </c>
      <c r="H3">
        <f t="shared" ref="H3:H21" si="0">IF(F3,1,0)</f>
        <v>1</v>
      </c>
      <c r="K3" s="21"/>
    </row>
    <row r="4" spans="1:11" ht="75" customHeight="1">
      <c r="A4" s="53" t="s">
        <v>35</v>
      </c>
      <c r="B4" s="8">
        <v>2</v>
      </c>
      <c r="C4" s="8" t="s">
        <v>32</v>
      </c>
      <c r="D4" s="8" t="s">
        <v>17</v>
      </c>
      <c r="E4" s="35" t="s">
        <v>36</v>
      </c>
      <c r="F4" s="15" t="b">
        <v>1</v>
      </c>
      <c r="G4" s="40" t="s">
        <v>37</v>
      </c>
      <c r="H4">
        <f t="shared" si="0"/>
        <v>1</v>
      </c>
      <c r="K4" s="21"/>
    </row>
    <row r="5" spans="1:11" ht="75" customHeight="1">
      <c r="A5" s="55"/>
      <c r="B5" s="8">
        <v>3</v>
      </c>
      <c r="C5" s="8" t="s">
        <v>32</v>
      </c>
      <c r="D5" s="8" t="s">
        <v>38</v>
      </c>
      <c r="E5" s="35" t="s">
        <v>39</v>
      </c>
      <c r="F5" s="15" t="b">
        <v>1</v>
      </c>
      <c r="G5" s="40" t="s">
        <v>40</v>
      </c>
      <c r="H5">
        <f t="shared" si="0"/>
        <v>1</v>
      </c>
      <c r="K5" s="21"/>
    </row>
    <row r="6" spans="1:11" ht="75" customHeight="1">
      <c r="A6" s="53" t="s">
        <v>41</v>
      </c>
      <c r="B6" s="4">
        <v>4</v>
      </c>
      <c r="C6" s="4" t="s">
        <v>32</v>
      </c>
      <c r="D6" s="4" t="s">
        <v>19</v>
      </c>
      <c r="E6" s="5" t="s">
        <v>42</v>
      </c>
      <c r="F6" s="15" t="b">
        <v>1</v>
      </c>
      <c r="G6" s="41" t="s">
        <v>43</v>
      </c>
      <c r="H6">
        <f t="shared" si="0"/>
        <v>1</v>
      </c>
      <c r="K6" s="21"/>
    </row>
    <row r="7" spans="1:11" ht="75" customHeight="1">
      <c r="A7" s="54"/>
      <c r="B7" s="4">
        <v>5</v>
      </c>
      <c r="C7" s="4" t="s">
        <v>32</v>
      </c>
      <c r="D7" s="4" t="s">
        <v>44</v>
      </c>
      <c r="E7" s="5" t="s">
        <v>45</v>
      </c>
      <c r="F7" s="15" t="b">
        <v>1</v>
      </c>
      <c r="G7" s="42" t="s">
        <v>46</v>
      </c>
      <c r="H7">
        <f t="shared" si="0"/>
        <v>1</v>
      </c>
      <c r="K7" s="21"/>
    </row>
    <row r="8" spans="1:11" ht="75" customHeight="1">
      <c r="A8" s="54"/>
      <c r="B8" s="4">
        <v>6</v>
      </c>
      <c r="C8" s="4" t="s">
        <v>47</v>
      </c>
      <c r="D8" s="4" t="s">
        <v>48</v>
      </c>
      <c r="E8" s="5" t="s">
        <v>49</v>
      </c>
      <c r="F8" s="15" t="b">
        <v>1</v>
      </c>
      <c r="G8" s="42" t="s">
        <v>50</v>
      </c>
      <c r="H8">
        <f t="shared" si="0"/>
        <v>1</v>
      </c>
      <c r="K8" s="21"/>
    </row>
    <row r="9" spans="1:11" ht="75" customHeight="1">
      <c r="A9" s="55"/>
      <c r="B9" s="4">
        <v>7</v>
      </c>
      <c r="C9" s="4" t="s">
        <v>32</v>
      </c>
      <c r="D9" s="4" t="s">
        <v>51</v>
      </c>
      <c r="E9" s="5" t="s">
        <v>52</v>
      </c>
      <c r="F9" s="15" t="b">
        <v>1</v>
      </c>
      <c r="G9" s="42" t="s">
        <v>53</v>
      </c>
      <c r="H9">
        <f t="shared" si="0"/>
        <v>1</v>
      </c>
      <c r="K9" s="21"/>
    </row>
    <row r="10" spans="1:11" ht="75" customHeight="1">
      <c r="A10" s="53" t="s">
        <v>54</v>
      </c>
      <c r="B10" s="8">
        <v>8</v>
      </c>
      <c r="C10" s="8" t="s">
        <v>32</v>
      </c>
      <c r="D10" s="8" t="s">
        <v>55</v>
      </c>
      <c r="E10" s="35" t="s">
        <v>56</v>
      </c>
      <c r="F10" s="15" t="b">
        <v>1</v>
      </c>
      <c r="G10" s="42" t="s">
        <v>57</v>
      </c>
      <c r="H10">
        <f t="shared" si="0"/>
        <v>1</v>
      </c>
      <c r="K10" s="21"/>
    </row>
    <row r="11" spans="1:11" ht="75" customHeight="1">
      <c r="A11" s="54"/>
      <c r="B11" s="4">
        <v>9</v>
      </c>
      <c r="C11" s="4" t="s">
        <v>32</v>
      </c>
      <c r="D11" s="4" t="s">
        <v>19</v>
      </c>
      <c r="E11" s="5" t="s">
        <v>42</v>
      </c>
      <c r="F11" s="15" t="b">
        <v>1</v>
      </c>
      <c r="G11" s="42" t="s">
        <v>58</v>
      </c>
      <c r="H11">
        <f t="shared" si="0"/>
        <v>1</v>
      </c>
      <c r="K11" s="23"/>
    </row>
    <row r="12" spans="1:11" ht="75" customHeight="1">
      <c r="A12" s="54"/>
      <c r="B12" s="4">
        <v>10</v>
      </c>
      <c r="C12" s="4" t="s">
        <v>32</v>
      </c>
      <c r="D12" s="4" t="s">
        <v>59</v>
      </c>
      <c r="E12" s="5" t="s">
        <v>60</v>
      </c>
      <c r="F12" s="15" t="b">
        <v>1</v>
      </c>
      <c r="G12" s="42" t="s">
        <v>61</v>
      </c>
      <c r="H12">
        <f t="shared" si="0"/>
        <v>1</v>
      </c>
      <c r="J12" s="24"/>
      <c r="K12" s="21"/>
    </row>
    <row r="13" spans="1:11" ht="75" customHeight="1">
      <c r="A13" s="54"/>
      <c r="B13" s="4">
        <v>11</v>
      </c>
      <c r="C13" s="4" t="s">
        <v>32</v>
      </c>
      <c r="D13" s="4" t="s">
        <v>62</v>
      </c>
      <c r="E13" s="5" t="s">
        <v>63</v>
      </c>
      <c r="F13" s="15" t="b">
        <v>1</v>
      </c>
      <c r="G13" s="41" t="s">
        <v>64</v>
      </c>
      <c r="H13">
        <f t="shared" si="0"/>
        <v>1</v>
      </c>
      <c r="K13" s="21"/>
    </row>
    <row r="14" spans="1:11" ht="95.1" customHeight="1">
      <c r="A14" s="55"/>
      <c r="B14" s="8">
        <v>12</v>
      </c>
      <c r="C14" s="8" t="s">
        <v>47</v>
      </c>
      <c r="D14" s="8" t="s">
        <v>65</v>
      </c>
      <c r="E14" s="35" t="s">
        <v>66</v>
      </c>
      <c r="F14" s="15" t="b">
        <v>1</v>
      </c>
      <c r="G14" s="41" t="s">
        <v>67</v>
      </c>
      <c r="H14">
        <f t="shared" si="0"/>
        <v>1</v>
      </c>
      <c r="K14" s="21"/>
    </row>
    <row r="15" spans="1:11" ht="75" customHeight="1">
      <c r="A15" s="63" t="s">
        <v>68</v>
      </c>
      <c r="B15" s="8">
        <v>13</v>
      </c>
      <c r="C15" s="8" t="s">
        <v>47</v>
      </c>
      <c r="D15" s="33" t="s">
        <v>69</v>
      </c>
      <c r="E15" s="35" t="s">
        <v>70</v>
      </c>
      <c r="F15" s="15" t="b">
        <v>1</v>
      </c>
      <c r="G15" s="41" t="s">
        <v>71</v>
      </c>
      <c r="H15">
        <f t="shared" si="0"/>
        <v>1</v>
      </c>
      <c r="K15" s="21"/>
    </row>
    <row r="16" spans="1:11" ht="95.1" customHeight="1">
      <c r="A16" s="64"/>
      <c r="B16" s="4">
        <v>14</v>
      </c>
      <c r="C16" s="4" t="s">
        <v>32</v>
      </c>
      <c r="D16" s="4" t="s">
        <v>72</v>
      </c>
      <c r="E16" s="5" t="s">
        <v>73</v>
      </c>
      <c r="F16" s="15" t="b">
        <v>1</v>
      </c>
      <c r="G16" s="41" t="s">
        <v>125</v>
      </c>
      <c r="H16">
        <f t="shared" si="0"/>
        <v>1</v>
      </c>
      <c r="K16" s="21"/>
    </row>
    <row r="17" spans="1:11" ht="75" customHeight="1">
      <c r="A17" s="63" t="s">
        <v>74</v>
      </c>
      <c r="B17" s="8">
        <v>15</v>
      </c>
      <c r="C17" s="8" t="s">
        <v>32</v>
      </c>
      <c r="D17" s="8" t="s">
        <v>75</v>
      </c>
      <c r="E17" s="35" t="s">
        <v>76</v>
      </c>
      <c r="F17" s="15" t="b">
        <v>1</v>
      </c>
      <c r="G17" s="40" t="s">
        <v>77</v>
      </c>
      <c r="H17">
        <f t="shared" si="0"/>
        <v>1</v>
      </c>
      <c r="K17" s="21"/>
    </row>
    <row r="18" spans="1:11" ht="105" customHeight="1">
      <c r="A18" s="64"/>
      <c r="B18" s="4">
        <v>16</v>
      </c>
      <c r="C18" s="4" t="s">
        <v>32</v>
      </c>
      <c r="D18" s="9" t="s">
        <v>78</v>
      </c>
      <c r="E18" s="5" t="s">
        <v>79</v>
      </c>
      <c r="F18" s="15" t="b">
        <v>1</v>
      </c>
      <c r="G18" s="40" t="s">
        <v>118</v>
      </c>
      <c r="H18">
        <f t="shared" si="0"/>
        <v>1</v>
      </c>
      <c r="K18" s="21"/>
    </row>
    <row r="19" spans="1:11" ht="159.94999999999999" customHeight="1">
      <c r="A19" s="53" t="s">
        <v>80</v>
      </c>
      <c r="B19" s="4">
        <v>17</v>
      </c>
      <c r="C19" s="4" t="s">
        <v>32</v>
      </c>
      <c r="D19" s="4" t="s">
        <v>19</v>
      </c>
      <c r="E19" s="5" t="s">
        <v>81</v>
      </c>
      <c r="F19" s="15" t="b">
        <v>1</v>
      </c>
      <c r="G19" s="41" t="s">
        <v>119</v>
      </c>
      <c r="H19">
        <f t="shared" si="0"/>
        <v>1</v>
      </c>
      <c r="K19" s="21"/>
    </row>
    <row r="20" spans="1:11" ht="84.95" customHeight="1">
      <c r="A20" s="54"/>
      <c r="B20" s="4">
        <v>18</v>
      </c>
      <c r="C20" s="9" t="s">
        <v>32</v>
      </c>
      <c r="D20" s="4" t="s">
        <v>82</v>
      </c>
      <c r="E20" s="5" t="s">
        <v>83</v>
      </c>
      <c r="F20" s="15" t="b">
        <v>1</v>
      </c>
      <c r="G20" s="41" t="s">
        <v>120</v>
      </c>
      <c r="H20">
        <f t="shared" si="0"/>
        <v>1</v>
      </c>
      <c r="K20" s="21"/>
    </row>
    <row r="21" spans="1:11" ht="75" customHeight="1">
      <c r="A21" s="55"/>
      <c r="B21" s="4">
        <v>19</v>
      </c>
      <c r="C21" s="9" t="s">
        <v>32</v>
      </c>
      <c r="D21" s="4" t="s">
        <v>84</v>
      </c>
      <c r="E21" s="5" t="s">
        <v>85</v>
      </c>
      <c r="F21" s="15" t="b">
        <v>1</v>
      </c>
      <c r="G21" s="41" t="s">
        <v>86</v>
      </c>
      <c r="H21">
        <f t="shared" si="0"/>
        <v>1</v>
      </c>
      <c r="K21" s="21"/>
    </row>
    <row r="22" spans="1:11" ht="51.95" customHeight="1">
      <c r="A22" s="3" t="s">
        <v>4</v>
      </c>
      <c r="B22" s="60" t="s">
        <v>87</v>
      </c>
      <c r="C22" s="61"/>
      <c r="D22" s="61"/>
      <c r="E22" s="61"/>
      <c r="F22" s="61"/>
      <c r="G22" s="62"/>
      <c r="K22" s="21"/>
    </row>
    <row r="23" spans="1:11" ht="60" customHeight="1">
      <c r="A23" s="3" t="s">
        <v>88</v>
      </c>
      <c r="B23" s="8">
        <f>COUNTA(D3:D21)</f>
        <v>19</v>
      </c>
      <c r="C23" s="56" t="s">
        <v>126</v>
      </c>
      <c r="D23" s="57"/>
      <c r="E23" s="57"/>
      <c r="F23" s="57"/>
      <c r="G23" s="58"/>
      <c r="K23" s="21"/>
    </row>
    <row r="24" spans="1:11"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33" type="noConversion"/>
  <pageMargins left="0.25" right="0.25" top="0.33333333333333331" bottom="0.33333333333333331" header="0.3" footer="0.3"/>
  <pageSetup paperSize="8" scale="8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3"/>
  <sheetViews>
    <sheetView workbookViewId="0"/>
  </sheetViews>
  <sheetFormatPr defaultColWidth="8.875" defaultRowHeight="16.5"/>
  <cols>
    <col min="1" max="4" width="9" style="11"/>
    <col min="5" max="6" width="15" style="11" customWidth="1"/>
    <col min="7" max="7" width="17" style="11" customWidth="1"/>
    <col min="8" max="8" width="21.375" style="11" customWidth="1"/>
    <col min="9" max="9" width="28.5" customWidth="1"/>
  </cols>
  <sheetData>
    <row r="1" spans="1:10" ht="20.25">
      <c r="A1" s="66" t="s">
        <v>89</v>
      </c>
      <c r="B1" s="67"/>
      <c r="C1" s="67"/>
      <c r="D1" s="67"/>
      <c r="E1" s="67"/>
      <c r="F1" s="67"/>
      <c r="G1" s="67"/>
      <c r="H1" s="67"/>
      <c r="I1" s="67"/>
      <c r="J1" s="16"/>
    </row>
    <row r="2" spans="1:10">
      <c r="A2" s="68" t="s">
        <v>90</v>
      </c>
      <c r="B2" s="68"/>
      <c r="C2" s="68"/>
      <c r="D2" s="68"/>
      <c r="E2" s="1" t="s">
        <v>91</v>
      </c>
      <c r="F2" s="2" t="s">
        <v>92</v>
      </c>
      <c r="G2" s="1" t="s">
        <v>93</v>
      </c>
      <c r="H2" s="1" t="s">
        <v>94</v>
      </c>
      <c r="I2" s="1" t="s">
        <v>4</v>
      </c>
    </row>
    <row r="3" spans="1:10">
      <c r="A3" s="50" t="s">
        <v>95</v>
      </c>
      <c r="B3" s="50"/>
      <c r="C3" s="50"/>
      <c r="D3" s="50"/>
      <c r="E3" s="70" t="s">
        <v>96</v>
      </c>
      <c r="F3" s="71"/>
      <c r="G3" s="10">
        <f>SUM('AAS Model Checklist'!H3:H21)</f>
        <v>19</v>
      </c>
      <c r="H3" s="10">
        <f t="shared" ref="H3:H10" si="0">ROUND(G3/$G$5*100,1)</f>
        <v>100</v>
      </c>
      <c r="I3" s="28" t="s">
        <v>97</v>
      </c>
    </row>
    <row r="4" spans="1:10">
      <c r="A4" s="50"/>
      <c r="B4" s="50"/>
      <c r="C4" s="50"/>
      <c r="D4" s="50"/>
      <c r="E4" s="70" t="s">
        <v>98</v>
      </c>
      <c r="F4" s="71"/>
      <c r="G4" s="31">
        <f>'AAS Model Checklist'!B23-G3</f>
        <v>0</v>
      </c>
      <c r="H4" s="10">
        <f t="shared" si="0"/>
        <v>0</v>
      </c>
      <c r="I4" s="28" t="s">
        <v>99</v>
      </c>
    </row>
    <row r="5" spans="1:10">
      <c r="A5" s="50"/>
      <c r="B5" s="50"/>
      <c r="C5" s="50"/>
      <c r="D5" s="50"/>
      <c r="E5" s="13" t="s">
        <v>88</v>
      </c>
      <c r="F5" s="13" t="s">
        <v>100</v>
      </c>
      <c r="G5" s="13">
        <f>SUM(G3:G4)</f>
        <v>19</v>
      </c>
      <c r="H5" s="13">
        <f t="shared" si="0"/>
        <v>100</v>
      </c>
      <c r="I5" s="29" t="s">
        <v>101</v>
      </c>
    </row>
    <row r="6" spans="1:10" ht="42" customHeight="1">
      <c r="A6" s="50" t="s">
        <v>102</v>
      </c>
      <c r="B6" s="50"/>
      <c r="C6" s="50"/>
      <c r="D6" s="50"/>
      <c r="E6" s="69" t="s">
        <v>32</v>
      </c>
      <c r="F6" s="10" t="s">
        <v>103</v>
      </c>
      <c r="G6" s="10">
        <f>SUMIF('AAS Model Checklist'!C3:C21,"필수",'AAS Model Checklist'!H3:H21)</f>
        <v>16</v>
      </c>
      <c r="H6" s="10">
        <f t="shared" si="0"/>
        <v>84.2</v>
      </c>
      <c r="I6" s="28" t="s">
        <v>104</v>
      </c>
    </row>
    <row r="7" spans="1:10" ht="42" customHeight="1">
      <c r="A7" s="50"/>
      <c r="B7" s="50"/>
      <c r="C7" s="50"/>
      <c r="D7" s="50"/>
      <c r="E7" s="69"/>
      <c r="F7" s="10" t="s">
        <v>105</v>
      </c>
      <c r="G7" s="10">
        <f>COUNTIF('AAS Model Checklist'!C3:C21,"필수")-G6</f>
        <v>0</v>
      </c>
      <c r="H7" s="10">
        <f t="shared" si="0"/>
        <v>0</v>
      </c>
      <c r="I7" s="28" t="s">
        <v>106</v>
      </c>
    </row>
    <row r="8" spans="1:10" ht="42" customHeight="1">
      <c r="A8" s="50"/>
      <c r="B8" s="50"/>
      <c r="C8" s="50"/>
      <c r="D8" s="50"/>
      <c r="E8" s="69" t="s">
        <v>47</v>
      </c>
      <c r="F8" s="10" t="s">
        <v>107</v>
      </c>
      <c r="G8" s="10">
        <f>SUMIF('AAS Model Checklist'!C3:C21,"옵션",'AAS Model Checklist'!H3:H21)</f>
        <v>3</v>
      </c>
      <c r="H8" s="10">
        <f t="shared" si="0"/>
        <v>15.8</v>
      </c>
      <c r="I8" s="28" t="s">
        <v>108</v>
      </c>
    </row>
    <row r="9" spans="1:10" ht="42" customHeight="1">
      <c r="A9" s="50"/>
      <c r="B9" s="50"/>
      <c r="C9" s="50"/>
      <c r="D9" s="50"/>
      <c r="E9" s="69"/>
      <c r="F9" s="10" t="s">
        <v>109</v>
      </c>
      <c r="G9" s="10">
        <f>COUNTIF('AAS Model Checklist'!C3:C21,"옵션")-G8</f>
        <v>0</v>
      </c>
      <c r="H9" s="10">
        <f t="shared" si="0"/>
        <v>0</v>
      </c>
      <c r="I9" s="28" t="s">
        <v>110</v>
      </c>
    </row>
    <row r="10" spans="1:10">
      <c r="A10" s="50"/>
      <c r="B10" s="50"/>
      <c r="C10" s="50"/>
      <c r="D10" s="50"/>
      <c r="E10" s="13" t="s">
        <v>88</v>
      </c>
      <c r="F10" s="14" t="s">
        <v>100</v>
      </c>
      <c r="G10" s="13">
        <f>SUM(G6:G9)</f>
        <v>19</v>
      </c>
      <c r="H10" s="13">
        <f t="shared" si="0"/>
        <v>100</v>
      </c>
      <c r="I10" s="29" t="s">
        <v>101</v>
      </c>
    </row>
    <row r="12" spans="1:10" ht="65.099999999999994" customHeight="1">
      <c r="A12" s="65" t="s">
        <v>127</v>
      </c>
      <c r="B12" s="65"/>
      <c r="C12" s="65"/>
      <c r="D12" s="65"/>
      <c r="E12" s="65"/>
      <c r="F12" s="65"/>
      <c r="G12" s="65"/>
      <c r="H12" s="65"/>
      <c r="I12" s="65"/>
    </row>
    <row r="13" spans="1:10">
      <c r="B13" s="27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33" type="noConversion"/>
  <pageMargins left="0.25" right="0.25" top="0.33333333333333331" bottom="0.33333333333333331" header="0.3" footer="0.3"/>
  <pageSetup paperSize="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6"/>
  <sheetViews>
    <sheetView workbookViewId="0"/>
  </sheetViews>
  <sheetFormatPr defaultColWidth="8.875" defaultRowHeight="16.5"/>
  <cols>
    <col min="1" max="6" width="22" customWidth="1"/>
  </cols>
  <sheetData>
    <row r="1" spans="1:6" ht="21.95" customHeight="1">
      <c r="A1" s="73" t="s">
        <v>128</v>
      </c>
      <c r="B1" s="74"/>
      <c r="C1" s="74"/>
      <c r="D1" s="74"/>
      <c r="E1" s="74"/>
      <c r="F1" s="74"/>
    </row>
    <row r="2" spans="1:6" ht="21.95" customHeight="1">
      <c r="A2" s="39"/>
      <c r="B2" s="36"/>
      <c r="C2" s="39"/>
      <c r="D2" s="43"/>
      <c r="E2" s="44"/>
      <c r="F2" s="43"/>
    </row>
    <row r="3" spans="1:6" ht="95.1" customHeight="1">
      <c r="A3" s="39" t="s">
        <v>111</v>
      </c>
      <c r="B3" s="75" t="s">
        <v>121</v>
      </c>
      <c r="C3" s="76"/>
      <c r="D3" s="77"/>
      <c r="E3" s="78"/>
      <c r="F3" s="77"/>
    </row>
    <row r="4" spans="1:6" ht="21.95" customHeight="1">
      <c r="A4" s="39"/>
      <c r="B4" s="37"/>
      <c r="C4" s="37"/>
      <c r="D4" s="37"/>
      <c r="E4" s="37"/>
      <c r="F4" s="37"/>
    </row>
    <row r="5" spans="1:6" ht="84.95" customHeight="1">
      <c r="A5" s="39" t="s">
        <v>112</v>
      </c>
      <c r="B5" s="75" t="s">
        <v>129</v>
      </c>
      <c r="C5" s="75"/>
      <c r="D5" s="75"/>
      <c r="E5" s="75"/>
      <c r="F5" s="75"/>
    </row>
    <row r="6" spans="1:6" ht="21.95" customHeight="1">
      <c r="A6" s="39"/>
      <c r="B6" s="37"/>
      <c r="C6" s="37"/>
      <c r="D6" s="37"/>
      <c r="E6" s="37"/>
      <c r="F6" s="37"/>
    </row>
    <row r="7" spans="1:6" ht="95.1" customHeight="1">
      <c r="A7" s="17" t="s">
        <v>113</v>
      </c>
      <c r="B7" s="72" t="s">
        <v>122</v>
      </c>
      <c r="C7" s="72"/>
      <c r="D7" s="72"/>
      <c r="E7" s="72"/>
      <c r="F7" s="72"/>
    </row>
    <row r="8" spans="1:6" ht="21.95" customHeight="1">
      <c r="A8" s="17"/>
      <c r="B8" s="45"/>
      <c r="C8" s="45"/>
      <c r="D8" s="45"/>
      <c r="E8" s="45"/>
      <c r="F8" s="45"/>
    </row>
    <row r="9" spans="1:6" ht="144.94999999999999" customHeight="1">
      <c r="A9" s="17" t="s">
        <v>114</v>
      </c>
      <c r="B9" s="72" t="s">
        <v>130</v>
      </c>
      <c r="C9" s="72"/>
      <c r="D9" s="72"/>
      <c r="E9" s="72"/>
      <c r="F9" s="72"/>
    </row>
    <row r="10" spans="1:6" ht="21.95" customHeight="1">
      <c r="A10" s="17"/>
      <c r="B10" s="45"/>
      <c r="C10" s="45"/>
      <c r="D10" s="45"/>
      <c r="E10" s="45"/>
      <c r="F10" s="45"/>
    </row>
    <row r="11" spans="1:6" ht="110.1" customHeight="1">
      <c r="A11" s="17" t="s">
        <v>115</v>
      </c>
      <c r="B11" s="72" t="s">
        <v>116</v>
      </c>
      <c r="C11" s="72"/>
      <c r="D11" s="72"/>
      <c r="E11" s="72"/>
      <c r="F11" s="72"/>
    </row>
    <row r="12" spans="1:6" ht="21.95" customHeight="1">
      <c r="A12" s="17"/>
      <c r="B12" s="17"/>
      <c r="C12" s="17"/>
      <c r="D12" s="17"/>
      <c r="E12" s="17"/>
      <c r="F12" s="17"/>
    </row>
    <row r="13" spans="1:6" ht="21.95" customHeight="1"/>
    <row r="14" spans="1:6" ht="21.95" customHeight="1"/>
    <row r="15" spans="1:6" ht="21.95" customHeight="1"/>
    <row r="16" spans="1:6" ht="21.95" customHeight="1">
      <c r="A16" s="20"/>
      <c r="B16" s="20"/>
      <c r="C16" s="20"/>
      <c r="D16" s="20"/>
      <c r="E16" s="20"/>
      <c r="F16" s="20"/>
    </row>
  </sheetData>
  <mergeCells count="6">
    <mergeCell ref="B11:F11"/>
    <mergeCell ref="A1:F1"/>
    <mergeCell ref="B3:F3"/>
    <mergeCell ref="B5:F5"/>
    <mergeCell ref="B7:F7"/>
    <mergeCell ref="B9:F9"/>
  </mergeCells>
  <phoneticPr fontId="33" type="noConversion"/>
  <pageMargins left="0.25" right="0.25" top="0.33333333333333331" bottom="0.33333333333333331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5</vt:i4>
      </vt:variant>
    </vt:vector>
  </HeadingPairs>
  <TitlesOfParts>
    <vt:vector size="9" baseType="lpstr">
      <vt:lpstr>AAS Model Checklist Information</vt:lpstr>
      <vt:lpstr>AAS Model Checklist</vt:lpstr>
      <vt:lpstr>AAS Model Checklist Result</vt:lpstr>
      <vt:lpstr>Additional Considerations</vt:lpstr>
      <vt:lpstr>'AAS Model Checklist'!Print_Area</vt:lpstr>
      <vt:lpstr>'AAS Model Checklist Information'!Print_Area</vt:lpstr>
      <vt:lpstr>'AAS Model Checklist Result'!Print_Area</vt:lpstr>
      <vt:lpstr>'Additional Considerations'!Print_Area</vt:lpstr>
      <vt:lpstr>'AAS Model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김현진</cp:lastModifiedBy>
  <dcterms:modified xsi:type="dcterms:W3CDTF">2026-10-12T12:34:44Z</dcterms:modified>
</cp:coreProperties>
</file>