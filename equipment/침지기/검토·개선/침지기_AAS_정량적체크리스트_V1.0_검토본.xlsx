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98fc85abc14127" /></Relationships>
</file>

<file path=xl/workbook.xml><?xml version="1.0" encoding="utf-8"?>
<x:workbook xmlns:x="http://schemas.openxmlformats.org/spreadsheetml/2006/main">
  <x:sheets>
    <x:sheet xmlns:r="http://schemas.openxmlformats.org/officeDocument/2006/relationships" name="AAS Model Checklist Information" sheetId="1" r:id="R101b2ca79f9f4a56"/>
    <x:sheet xmlns:r="http://schemas.openxmlformats.org/officeDocument/2006/relationships" name="AAS Model Checklist" sheetId="2" r:id="R926bcc71470a4a54"/>
    <x:sheet xmlns:r="http://schemas.openxmlformats.org/officeDocument/2006/relationships" name="AAS Model Checklist Result" sheetId="3" r:id="R2de0165c55334a3d"/>
    <x:sheet xmlns:r="http://schemas.openxmlformats.org/officeDocument/2006/relationships" name="Additional Considerations" sheetId="4" r:id="R746b0a7133b94500"/>
  </x:sheet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<x:sst xmlns:x="http://schemas.openxmlformats.org/spreadsheetml/2006/main">
  <x:si>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AAS Model Checklist Information</x:t>
  </x:si>
  <x:si>
    <x:t xml:space="preserve">분류(대상)</x:t>
  </x:si>
  <x:si>
    <x:t xml:space="preserve">정보</x:t>
  </x:si>
  <x:si>
    <x:t xml:space="preserve">설명</x:t>
  </x:si>
  <x:si>
    <x:t xml:space="preserve">비고</x:t>
  </x:si>
  <x:si>
    <x:t xml:space="preserve">기본정보</x:t>
  </x:si>
  <x:si>
    <x:t xml:space="preserve">* 본 체크리스트는 2026년 중소기업벤처부 과제공고 기준을 대상으로 제작하였습니다.</x:t>
  </x:si>
  <x:si>
    <x:t xml:space="preserve">Id 버전</x:t>
  </x:si>
  <x:si>
    <x:t xml:space="preserve">AAS 모델링시 참조한 표준 및 근거자료에 대한 버전을 확인한다.
예시) CDD 버전, eCl@ss 버전, ETIM 버전 등</x:t>
  </x:si>
  <x:si>
    <x:t xml:space="preserve">IRDI 관련 내용</x:t>
  </x:si>
  <x:si>
    <x: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x:t>
  </x:si>
  <x:si>
    <x:t xml:space="preserve">IRI 양식</x:t>
  </x:si>
  <x:si>
    <x:r>
      <x:t xml:space="preserve">
구조 : 
- Submodel: </x:t>
    </x:r>
    <x:r>
      <x:rPr>
        <x:u val="single"/>
        <x:sz val="10"/>
        <x:color theme="1"/>
        <x:rFont val="맑은 고딕"/>
        <x:family val="3"/>
      </x:rPr>
      <x:t xml:space="preserve">KOSMO 홈페이지주소/ids/sm/AAS명/Submodel명/version
</x:t>
    </x:r>
    <x:r>
      <x:rPr>
        <x:sz val="10"/>
        <x:color theme="1"/>
        <x:rFont val="맑은 고딕"/>
        <x:family val="3"/>
      </x:rPr>
      <x:t xml:space="preserve">예시) https://www.smart-factory.kr/ids/sm/ACB/TechnicalData/1/0
- Submodel 외 항목: </x:t>
    </x:r>
    <x:r>
      <x:rPr>
        <x:u val="single"/>
        <x:sz val="10"/>
        <x:color theme="1"/>
        <x:rFont val="맑은 고딕"/>
        <x:family val="3"/>
      </x:rPr>
      <x:t xml:space="preserve">KOSMO 홈페이지주소/ids/카테고리/변수명/version
</x:t>
    </x:r>
    <x:r>
      <x:rPr>
        <x:sz val="10"/>
        <x:color theme="1"/>
        <x:rFont val="맑은 고딕"/>
        <x:family val="3"/>
      </x:rPr>
      <x:t xml:space="preserve">예시) https://www.smart-factory.kr/ids/cd/TypeOfActuator/1/0
       https://www.smart-factory.kr/ids/aas/ACB/1/0
</x:t>
    </x:r>
    <x:r>
      <x:rPr>
        <x:sz val="10"/>
        <x:color theme="1"/>
        <x:rFont val="맑은 고딕"/>
        <x:family val="3"/>
      </x:rPr>
      <x:t xml:space="preserve">* IDTA 표준 서브모델 템플릿을 사용한 경우에는 IRI를 변경하지 않고, 그대로 사용해야 한다. 단, 서브모델의 Id는 IDTA에서 정의한 IRI가 있더라도 중기부에서 정의한 구조를 사용해야 한다.
</x:t>
    </x:r>
    <x:r>
      <x:rPr>
        <x:b/>
        <x:sz val="10"/>
        <x:color rgb="FFFF0000"/>
        <x:rFont val="맑은 고딕"/>
        <x:family val="2"/>
      </x:rPr>
      <x:t xml:space="preserve">* AAS와 Submodel에 한하여 administration에 버전 정보를 입력하고 ID 뒷부분 '/version' 과 일치 시킬것</x:t>
    </x:r>
    <x:r>
      <x:rPr>
        <x:sz val="10"/>
        <x:color theme="1"/>
        <x:rFont val="맑은 고딕"/>
        <x:family val="3"/>
      </x:rPr>
      <x:t xml:space="preserve">
</x:t>
    </x:r>
    <x:r>
      <x:rPr>
        <x:sz val="10"/>
        <x:color theme="1"/>
        <x:rFont val="맑은 고딕"/>
        <x:family val="3"/>
      </x:rPr>
      <x:t xml:space="preserve">
* 용어설명
sm: Submodel
cd : ConceptDescription
aas : AAS
        </x:t>
    </x:r>
  </x:si>
  <x:si>
    <x:t xml:space="preserve">장비특화 Submodel 구성</x:t>
  </x:si>
  <x:si>
    <x:r>
      <x:rPr>
        <x:b/>
        <x:sz val="10"/>
        <x:color theme="1"/>
        <x:rFont val="맑은 고딕"/>
        <x:family val="3"/>
      </x:rPr>
      <x: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x:t>
    </x:r>
    <x:r>
      <x:rPr>
        <x:b/>
        <x:sz val="10"/>
        <x:color rgb="FFFF0000"/>
        <x:rFont val="맑은 고딕"/>
        <x:family val="3"/>
      </x:rPr>
      <x:t xml:space="preserve">* 각 계층과 컬렉션은 명확한 분류 목적을 가져야 하며, 별도의 모델링 근거 없이 단순히 하위 요소만을 포함하는 중간 SMC는 계층 세분화 요건을 충족하지 않은 것으로 판단함.</x:t>
    </x:r>
    <x:r>
      <x:rPr>
        <x:b/>
        <x:sz val="10"/>
        <x:color rgb="FF0070C0"/>
        <x:rFont val="맑은 고딕"/>
        <x:family val="2"/>
      </x:rPr>
      <x:t xml:space="preserve">
</x:t>
    </x:r>
  </x:si>
  <x:si>
    <x:t xml:space="preserve">체크리스트
참조/공통체크사항</x:t>
  </x:si>
  <x:si>
    <x:t xml:space="preserve">idShort 설정여부</x:t>
  </x:si>
  <x:si>
    <x:r>
      <x:t xml:space="preserve">idShort가 설정되어 있는지 확인한다.
* Naming rule/Convention (권고사항)
① 공백, 특수문</x:t>
    </x:r>
    <x:r>
      <x:rPr>
        <x:sz val="10"/>
        <x:color theme="1"/>
        <x:rFont val="맑은 고딕"/>
        <x:family val="3"/>
      </x:rPr>
      <x:t xml:space="preserve">자(‘_’, underbar, </x:t>
    </x:r>
    <x:r>
      <x:rPr>
        <x:sz val="10"/>
        <x:color rgb="FFFF0000"/>
        <x:rFont val="맑은 고딕"/>
        <x:family val="3"/>
      </x:rPr>
      <x:t xml:space="preserve">‘-‘, hyphen </x:t>
    </x:r>
    <x:r>
      <x:rPr>
        <x:sz val="10"/>
        <x:color theme="1"/>
        <x:rFont val="맑은 고딕"/>
        <x:family val="3"/>
      </x:rPr>
      <x:t xml:space="preserve">제외)를</x:t>
    </x:r>
    <x:r>
      <x:rPr>
        <x:sz val="10"/>
        <x:color rgb="FF000000"/>
        <x:rFont val="맑은 고딕"/>
        <x:family val="3"/>
      </x:rPr>
      <x:t xml:space="preserve"> 포함하지 않음
② 일관된 표기법 사용 / 예) 모든 단어를 띄어쓰기 없이 대문자로 시작
예시) "Rated voltage" -&gt; "RatedVoltage" 또는 "Rated_Voltage" 등등</x:t>
    </x:r>
  </x:si>
  <x:si>
    <x:t xml:space="preserve">Id</x:t>
  </x:si>
  <x:si>
    <x:t xml:space="preserve">각 항목의 Id 양식을 확인하고, IRDI 형식인지 IRI 형식인지 구분한다.
IRDI인 경우, 해당 항목이 CDD/Ecl@ss에 존재하여야 한다.
IRI인 경우, 정해진 양식을 준수하고 있는지 확인한다.</x:t>
  </x:si>
  <x:si>
    <x:t xml:space="preserve">description 또는 definition 여부</x:t>
  </x:si>
  <x:si>
    <x:t xml:space="preserve">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x:t>
  </x:si>
  <x:si>
    <x:t xml:space="preserve">기타</x:t>
  </x:si>
  <x:si>
    <x:r>
      <x: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x:t>
    </x:r>
    <x:r>
      <x:rPr>
        <x:sz val="10"/>
        <x:color theme="1"/>
        <x:rFont val="맑은 고딕"/>
        <x:family val="3"/>
      </x:rPr>
      <x:t xml:space="preserve">③ Property의 완성도 및 충실도에 대한 정성적 평가를 진행한다. 즉, 본 체크리스트를 통해 정량적으로 평가하지는 않지만, 이후 전문가들에 의해 Property 개수, Property 의미 등이 정성적으로 평가될 예정이다.</x:t>
    </x:r>
    <x:r>
      <x:rPr>
        <x:sz val="10"/>
        <x:color theme="1"/>
        <x:rFont val="맑은 고딕"/>
        <x:family val="3"/>
      </x:rPr>
      <x:t xml:space="preserve">
</x:t>
    </x:r>
    <x:r>
      <x:rPr>
        <x:b/>
        <x:sz val="10"/>
        <x:color theme="1"/>
        <x:rFont val="맑은 고딕"/>
        <x:family val="3"/>
      </x:rPr>
      <x:t xml:space="preserve">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x:t>
    </x:r>
    <x:r>
      <x:rPr>
        <x:sz val="10"/>
        <x:color theme="1"/>
        <x:rFont val="맑은 고딕"/>
        <x:family val="3"/>
      </x:rPr>
      <x:t xml:space="preserve">
</x:t>
    </x:r>
    <x:r>
      <x:rPr>
        <x:sz val="10"/>
        <x:color theme="1"/>
        <x:rFont val="맑은 고딕"/>
        <x:family val="2"/>
      </x:rPr>
      <x:t xml:space="preserve">⑤ 모</x:t>
    </x:r>
    <x:r>
      <x:rPr>
        <x:sz val="10"/>
        <x:color theme="1"/>
        <x:rFont val="맑은 고딕"/>
        <x:family val="3"/>
      </x:rPr>
      <x:t xml:space="preserve">델 제출 시에는 "「AAS 제조데이터 표준 참조모델 사전 검증 보고서」 작성 요령"에 따라 사전 검증보고서를 제출하여야 한다.</x:t>
    </x:r>
  </x:si>
  <x:si>
    <x:t xml:space="preserve">번호</x:t>
  </x:si>
  <x:si>
    <x:t xml:space="preserve">중요도</x:t>
  </x:si>
  <x:si>
    <x:t xml:space="preserve">체크사항</x:t>
  </x:si>
  <x:si>
    <x:t xml:space="preserve">체크</x:t>
  </x:si>
  <x:si>
    <x:t xml:space="preserve">비고 (검토의견)</x:t>
  </x:si>
  <x:si>
    <x:t xml:space="preserve">기본사항</x:t>
  </x:si>
  <x:si>
    <x:t xml:space="preserve">필수</x:t>
  </x:si>
  <x:si>
    <x:t xml:space="preserve">Thumnail</x:t>
  </x:si>
  <x:si>
    <x:t xml:space="preserve">AASX 파일에 Thumbnail 이미지가 포함되어 있으며, AssetInformation의 defaultThumbnail에 동일한 경로가 설정되어 있는지 확인한다.</x:t>
  </x:si>
  <x:si>
    <x:t xml:space="preserve">공통</x:t>
  </x:si>
  <x:si>
    <x:t xml:space="preserve">idShort가 설정되어 있는지 확인한다.</x:t>
  </x:si>
  <x:si>
    <x:t xml:space="preserve">idShort 명명규칙</x:t>
  </x:si>
  <x:si>
    <x:r>
      <x:rPr>
        <x:b/>
        <x:sz val="10"/>
        <x:rFont val="맑은 고딕"/>
        <x:family val="3"/>
      </x:rPr>
      <x:t xml:space="preserve">idShort가 정의된 양식을 준수하고 있는지 확인한다.
※ 예외사항</x:t>
    </x:r>
    <x:r>
      <x:rPr>
        <x:b/>
        <x:sz val="10"/>
        <x:color theme="1"/>
        <x:rFont val="맑은 고딕"/>
        <x:family val="3"/>
      </x:rPr>
      <x:t xml:space="preserve">
</x:t>
    </x:r>
    <x:r>
      <x:rPr>
        <x:b/>
        <x:sz val="10"/>
        <x:color rgb="FFFF0000"/>
        <x:rFont val="맑은 고딕"/>
        <x:family val="3"/>
      </x:rPr>
      <x:t xml:space="preserve">Submodel Element List의 하위에 속하는 Submodel Element는 idShort를 작성하지 않아도 되며, 작성하는 경우 명명규칙을 준수하여야 함</x:t>
    </x:r>
  </x:si>
  <x:si>
    <x:t xml:space="preserve">AAS</x:t>
  </x:si>
  <x:si>
    <x:r>
      <x:rPr>
        <x:sz val="10"/>
        <x:rFont val="맑은 고딕"/>
        <x:family val="3"/>
      </x:rPr>
      <x:t xml:space="preserve">각 항목의 Id 양식을 확인하고, IRDI 형식인지 IRI 형식인지 구분한다.
IRI인 경우, 정해진 양식을 준수하고 있는지 확인한다.
</x:t>
    </x:r>
    <x:r>
      <x:rPr>
        <x:b/>
        <x:sz val="10"/>
        <x:color rgb="FFFF0000"/>
        <x:rFont val="맑은 고딕"/>
        <x:family val="3"/>
      </x:rPr>
      <x:t xml:space="preserve">* administration에 버전 정보를 입력하고 ID 뒷부분 '/version' 과 일치 시킬것</x:t>
    </x:r>
  </x:si>
  <x:si>
    <x:t xml:space="preserve">Submodel 구성</x:t>
  </x:si>
  <x:si>
    <x:r>
      <x:rPr>
        <x:sz val="10"/>
        <x:rFont val="맑은 고딕"/>
        <x:family val="3"/>
      </x:rPr>
      <x:t xml:space="preserve">AAS 모델링에서 필수적인 성격을 지닌 아래의 4가지 Submodel이 포함되어 있으며</x:t>
    </x:r>
    <x:r>
      <x:rPr>
        <x:b/>
        <x:sz val="10"/>
        <x:color theme="1"/>
        <x:rFont val="맑은 고딕"/>
        <x:family val="3"/>
      </x:rPr>
      <x:t xml:space="preserve"> 총 6종 이상 8종 이하의 Submodel로 구성되어 있는지 확인한다.</x:t>
    </x:r>
    <x:r>
      <x:rPr>
        <x:sz val="10"/>
        <x:color theme="1"/>
        <x:rFont val="맑은 고딕"/>
        <x:family val="3"/>
      </x:rPr>
      <x:t xml:space="preserve">
① </x:t>
    </x:r>
    <x:r>
      <x:rPr>
        <x:b/>
        <x:sz val="10"/>
        <x:color theme="1"/>
        <x:rFont val="맑은 고딕"/>
        <x:family val="3"/>
      </x:rPr>
      <x:t xml:space="preserve">Digital Nameplate</x:t>
    </x:r>
    <x:r>
      <x:rPr>
        <x:sz val="10"/>
        <x:color theme="1"/>
        <x:rFont val="맑은 고딕"/>
        <x:family val="3"/>
      </x:rPr>
      <x:t xml:space="preserve">, ② </x:t>
    </x:r>
    <x:r>
      <x:rPr>
        <x:b/>
        <x:sz val="10"/>
        <x:color theme="1"/>
        <x:rFont val="맑은 고딕"/>
        <x:family val="3"/>
      </x:rPr>
      <x:t xml:space="preserve">Handover Documentation,</x:t>
    </x:r>
    <x:r>
      <x:rPr>
        <x:sz val="10"/>
        <x:color theme="1"/>
        <x:rFont val="맑은 고딕"/>
        <x:family val="3"/>
      </x:rPr>
      <x:t xml:space="preserve">
③ Technical Data, ④ </x:t>
    </x:r>
    <x:r>
      <x:rPr>
        <x:sz val="10"/>
        <x:color theme="1"/>
        <x:rFont val="맑은 고딕"/>
        <x:family val="3"/>
      </x:rPr>
      <x:t xml:space="preserve">Operational Data</x:t>
    </x:r>
  </x:si>
  <x:si>
    <x:t xml:space="preserve">옵션</x:t>
  </x:si>
  <x:si>
    <x:t xml:space="preserve">globalAssetId 여부</x:t>
  </x:si>
  <x:si>
    <x:t xml:space="preserve">globalAssetId가 설정되어 있는지 확인한다.</x:t>
  </x:si>
  <x:si>
    <x:t xml:space="preserve">Type종류</x:t>
  </x:si>
  <x:si>
    <x:t xml:space="preserve">'kind'가 'Type'으로 지정되어 있는지 확인한다.</x:t>
  </x:si>
  <x:si>
    <x:t xml:space="preserve">Submodel</x:t>
  </x:si>
  <x:si>
    <x:t xml:space="preserve">최신 Version 여부</x:t>
  </x:si>
  <x:si>
    <x:t xml:space="preserve">IDTA 서브모델 템플릿을 활용하는 경우, 최신 버전의 템플릿을 사용하고 있는지 확인한다.</x:t>
  </x:si>
  <x:si>
    <x:t xml:space="preserve">Semantic ID</x:t>
  </x:si>
  <x:si>
    <x:r>
      <x:rPr>
        <x:sz val="10"/>
        <x:rFont val="맑은 고딕"/>
        <x:family val="3"/>
      </x:rPr>
      <x:t xml:space="preserve">Semantic ID가 작성되어 있는지 확인한다. 
</x:t>
    </x:r>
    <x:r>
      <x:rPr>
        <x:sz val="10"/>
        <x:color theme="1"/>
        <x:rFont val="맑은 고딕"/>
        <x:family val="3"/>
      </x:rPr>
      <x:t xml:space="preserve">표준 서브모델이 아닌 경우, 적절한 형식의 IRI 식별자인지 확인한다.</x:t>
    </x:r>
  </x:si>
  <x:si>
    <x:t xml:space="preserve">kind</x:t>
  </x:si>
  <x:si>
    <x:t xml:space="preserve">'kind'가 'Template'으로 지정되어 있는지 확인한다</x:t>
  </x:si>
  <x:si>
    <x:t xml:space="preserve">계층 세분화</x:t>
  </x:si>
  <x:si>
    <x:r>
      <x:rPr>
        <x:b/>
        <x:sz val="10"/>
        <x:rFont val="맑은 고딕"/>
        <x:family val="3"/>
      </x:rPr>
      <x: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x:t>
    </x:r>
    <x:r>
      <x:rPr>
        <x:b/>
        <x:sz val="10"/>
        <x:color rgb="FFFF0000"/>
        <x:rFont val="맑은 고딕"/>
        <x:family val="3"/>
      </x:rPr>
      <x:t xml:space="preserve">* 각 계층과 컬렉션은 명확한 분류 목적을 가져야 하며, 별도의 모델링 근거 없이 단순히 하위 요소만을 포함하는 중간 SMC는 계층 세분화 요건을 충족하지 않은 것으로 판단함.</x:t>
    </x:r>
  </x:si>
  <x:si>
    <x:t xml:space="preserve">SME
(Submodel Element) </x:t>
  </x:si>
  <x:si>
    <x:t xml:space="preserve">특수 SME 배제 여부</x:t>
  </x:si>
  <x:si>
    <x:r>
      <x:rPr>
        <x:b/>
        <x:sz val="10"/>
        <x:rFont val="맑은 고딕"/>
        <x:family val="3"/>
      </x:rPr>
      <x:t xml:space="preserve">AAS 참조모델 개발 시 사용을 지양하는 Operation, BasicEventElement, </x:t>
    </x:r>
    <x:r>
      <x:rPr>
        <x:b/>
        <x:sz val="10"/>
        <x:color rgb="FFFF0000"/>
        <x:rFont val="맑은 고딕"/>
        <x:family val="3"/>
      </x:rPr>
      <x:t xml:space="preserve">Capability </x:t>
    </x:r>
    <x:r>
      <x:rPr>
        <x:b/>
        <x:sz val="10"/>
        <x:color theme="1"/>
        <x:rFont val="맑은 고딕"/>
        <x:family val="3"/>
      </x:rPr>
      <x:t xml:space="preserve">엘리먼트가 사용되지 않았는지 확인한다.</x:t>
    </x:r>
  </x:si>
  <x:si>
    <x:t xml:space="preserve">Concept Description 매핑여부</x:t>
  </x:si>
  <x:si>
    <x:t xml:space="preserve">Submodel Elements가 Concept Description과 올바르게 매핑되어 있는지 확인한다 </x:t>
  </x:si>
  <x:si>
    <x:t xml:space="preserve">SME 중
Property</x:t>
  </x:si>
  <x:si>
    <x:t xml:space="preserve">value 값 여부</x:t>
  </x:si>
  <x:si>
    <x:r>
      <x:rPr>
        <x:b/>
        <x:sz val="10"/>
        <x:rFont val="맑은 고딕"/>
        <x:family val="3"/>
      </x:rPr>
      <x:t xml:space="preserve">value값에 Example Data가 기입 되었는지 확인한다. 
</x:t>
    </x:r>
    <x:r>
      <x:rPr>
        <x:b/>
        <x:sz val="10"/>
        <x:color rgb="FFFF0000"/>
        <x:rFont val="맑은 고딕"/>
        <x:family val="3"/>
      </x:rPr>
      <x:t xml:space="preserve">* DigitalNameplate, HandoverDocumentation 제외</x:t>
    </x:r>
  </x:si>
  <x:si>
    <x:t xml:space="preserve">Concept Description과 
data type 매칭여부</x:t>
  </x:si>
  <x:si>
    <x:t xml:space="preserve">valueType이 설정되어야 하며, 
연결된 Concept Description의 dataType과 매칭되는 데이터 타입으로 설정되어야 한다</x:t>
  </x:si>
  <x:si>
    <x:t xml:space="preserve">ConceptDescription</x:t>
  </x:si>
  <x:si>
    <x:t xml:space="preserve">각 항목의 Id 양식을 확인하고, IRDI 형식인지 IRI 형식인지 구분한다.
* IRDI인 경우, 해당 항목이 CDD/Ecl@ss에 존재하여야 한다.
* IRI인 경우, 정해진 양식을 준수하고 있는지 확인한다.</x:t>
  </x:si>
  <x:si>
    <x:t xml:space="preserve">definition 여부</x:t>
  </x:si>
  <x:si>
    <x:t xml:space="preserve">해당 항목에 대한 definition이 작성되어 있는지 확인한다.
* description이 작성되어 있는 경우도 포함</x:t>
  </x:si>
  <x:si>
    <x:t xml:space="preserve">dataType 설정여부</x:t>
  </x:si>
  <x:si>
    <x:t xml:space="preserve">Concept Description의 dataType이 설정되어 있는지 확인한다
* eCl@ss/CDD에서 dataType이 정의되어 있지 않은 경우는 제외</x:t>
  </x:si>
  <x:si>
    <x:t xml:space="preserve">-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x:t>
  </x:si>
  <x:si>
    <x:t xml:space="preserve">합계</x:t>
  </x:si>
  <x:si>
    <x:t xml:space="preserve">AAS Model Checklist Result</x:t>
  </x:si>
  <x:si>
    <x:t xml:space="preserve">분류</x:t>
  </x:si>
  <x:si>
    <x:t xml:space="preserve">기준항목</x:t>
  </x:si>
  <x:si>
    <x:t xml:space="preserve">세부항목</x:t>
  </x:si>
  <x:si>
    <x:t xml:space="preserve">개수</x:t>
  </x:si>
  <x:si>
    <x:t xml:space="preserve">%</x:t>
  </x:si>
  <x:si>
    <x:t xml:space="preserve">단순통계</x:t>
  </x:si>
  <x:si>
    <x:t xml:space="preserve"></x:t>
  </x:si>
  <x:si>
    <x:t xml:space="preserve"></x:t>
  </x:si>
  <x:si>
    <x:t xml:space="preserve">-</x:t>
  </x:si>
  <x:si>
    <x:t xml:space="preserve">총 체크사항</x:t>
  </x:si>
  <x:si>
    <x:t xml:space="preserve">'중요도'기준 통계</x:t>
  </x:si>
  <x:si>
    <x:r>
      <x:rPr>
        <x:sz val="10"/>
        <x:color rgb="FF000000"/>
        <x:rFont val="맑은 고딕"/>
        <x:family val="3"/>
      </x:rPr>
      <x:t xml:space="preserve">"필수" 中 </x:t>
    </x:r>
    <x:r>
      <x:rPr>
        <x:sz val="10"/>
        <x:color rgb="FF000000"/>
        <x:rFont val="Wingdings"/>
        <x:family val="2"/>
      </x:rPr>
      <x:t xml:space="preserve"></x:t>
    </x:r>
  </x:si>
  <x:si>
    <x:t xml:space="preserve">필수 체크사항 충족 항목</x:t>
  </x:si>
  <x:si>
    <x:r>
      <x:rPr>
        <x:sz val="10"/>
        <x:color rgb="FF000000"/>
        <x:rFont val="맑은 고딕"/>
        <x:family val="3"/>
      </x:rPr>
      <x:t xml:space="preserve">"필수" 中 </x:t>
    </x:r>
    <x:r>
      <x:rPr>
        <x:sz val="10"/>
        <x:color rgb="FF000000"/>
        <x:rFont val="Wingdings"/>
        <x:family val="2"/>
      </x:rPr>
      <x:t xml:space="preserve"></x:t>
    </x:r>
  </x:si>
  <x:si>
    <x:r>
      <x:rPr>
        <x:sz val="10"/>
        <x:color rgb="FF000000"/>
        <x:rFont val="맑은 고딕"/>
        <x:family val="3"/>
      </x:rPr>
      <x:t xml:space="preserve">"옵션" 中 </x:t>
    </x:r>
    <x:r>
      <x:rPr>
        <x:sz val="10"/>
        <x:color rgb="FF000000"/>
        <x:rFont val="Wingdings"/>
        <x:family val="2"/>
      </x:rPr>
      <x:t xml:space="preserve"></x:t>
    </x:r>
  </x:si>
  <x:si>
    <x:t xml:space="preserve">옵션 체크사항 충족 항목</x:t>
  </x:si>
  <x:si>
    <x:r>
      <x:rPr>
        <x:sz val="10"/>
        <x:color rgb="FF000000"/>
        <x:rFont val="맑은 고딕"/>
        <x:family val="3"/>
      </x:rPr>
      <x:t xml:space="preserve">"옵션" 中 </x:t>
    </x:r>
    <x:r>
      <x:rPr>
        <x:sz val="10"/>
        <x:color rgb="FF000000"/>
        <x:rFont val="Wingdings"/>
        <x:family val="2"/>
      </x:rPr>
      <x:t xml:space="preserve"></x:t>
    </x:r>
  </x:si>
  <x:si>
    <x:t xml:space="preserve">옵션 체크사항 불충족 항목</x:t>
  </x:si>
  <x:si>
    <x:t xml:space="preserve">추가 검토사항</x:t>
  </x:si>
  <x:si>
    <x:t xml:space="preserve">1. 검토자</x:t>
  </x:si>
  <x:si>
    <x:t xml:space="preserve">2. 소속</x:t>
  </x:si>
  <x:si>
    <x:t xml:space="preserve">3. 검토일</x:t>
  </x:si>
</x:sst>
</file>

<file path=xl/styles.xml><?xml version="1.0" encoding="utf-8"?>
<x:styleSheet xmlns:x="http://schemas.openxmlformats.org/spreadsheetml/2006/main">
  <x:numFmts count="1">
    <x:numFmt numFmtId="200" formatCode="0.0"/>
  </x:numFmts>
  <x:fonts count="36">
    <x:font>
      <x:sz val="11"/>
      <x:color theme="1"/>
      <x:name val="맑은 고딕"/>
    </x:font>
    <x:font>
      <x:sz val="11"/>
      <x:color theme="1"/>
      <x:name val="맑은 고딕"/>
      <x:family val="3"/>
    </x:font>
    <x:font>
      <x:b/>
      <x:sz val="10"/>
      <x:color theme="0"/>
      <x:name val="맑은 고딕"/>
      <x:family val="3"/>
    </x:font>
    <x:font>
      <x:sz val="10"/>
      <x:color theme="1"/>
      <x:name val="맑은 고딕"/>
      <x:family val="3"/>
    </x:font>
    <x:font>
      <x:b/>
      <x:sz val="10"/>
      <x:color theme="1"/>
      <x:name val="맑은 고딕"/>
      <x:family val="3"/>
    </x:font>
    <x:font>
      <x:sz val="10"/>
      <x:color rgb="FF000000"/>
      <x:name val="맑은 고딕"/>
      <x:family val="3"/>
    </x:font>
    <x:font>
      <x:sz val="10"/>
      <x:color theme="1"/>
      <x:name val="Arial Unicode MS"/>
    </x:font>
    <x:font>
      <x:sz val="10"/>
      <x:color theme="1"/>
      <x:name val="맑은 고딕"/>
      <x:family val="3"/>
    </x:font>
    <x:font>
      <x:b/>
      <x:sz val="14"/>
      <x:color theme="0"/>
      <x:name val="맑은 고딕"/>
      <x:family val="3"/>
    </x:font>
    <x:font>
      <x:sz val="10"/>
      <x:color theme="1"/>
      <x:name val="Wingdings"/>
    </x:font>
    <x:font>
      <x:sz val="10"/>
      <x:color theme="1"/>
      <x:name val="맑은 고딕"/>
      <x:family val="3"/>
    </x:font>
    <x:font>
      <x:sz val="11"/>
      <x:color rgb="FF00B050"/>
      <x:name val="맑은 고딕"/>
      <x:family val="3"/>
    </x:font>
    <x:font>
      <x:sz val="10"/>
      <x:color rgb="FF00B050"/>
      <x:name val="맑은 고딕"/>
      <x:family val="3"/>
    </x:font>
    <x:font>
      <x:sz val="11"/>
      <x:color rgb="FF00B050"/>
      <x:name val="맑은 고딕"/>
      <x:family val="3"/>
    </x:font>
    <x:font>
      <x:sz val="11"/>
      <x:name val="맑은 고딕"/>
      <x:family val="3"/>
    </x:font>
    <x:font>
      <x:b/>
      <x:sz val="11"/>
      <x:color theme="1"/>
      <x:name val="맑은 고딕"/>
      <x:family val="3"/>
    </x:font>
    <x:font>
      <x:b/>
      <x:sz val="16"/>
      <x:color theme="0"/>
      <x:name val="맑은 고딕"/>
      <x:family val="3"/>
    </x:font>
    <x:font>
      <x:sz val="10"/>
      <x:color theme="1"/>
      <x:name val="맑은 고딕"/>
      <x:family val="3"/>
    </x:font>
    <x:font>
      <x:b/>
      <x:sz val="10"/>
      <x:color theme="1"/>
      <x:name val="Arial Unicode MS"/>
    </x:font>
    <x:font>
      <x:b/>
      <x:sz val="10"/>
      <x:color rgb="FF0070C0"/>
      <x:name val="맑은 고딕"/>
      <x:family val="3"/>
    </x:font>
    <x:font>
      <x:b/>
      <x:sz val="10"/>
      <x:color rgb="FFFF0000"/>
      <x:name val="맑은 고딕"/>
      <x:family val="3"/>
    </x:font>
    <x:font>
      <x:u val="single"/>
      <x:sz val="10"/>
      <x:color theme="1"/>
      <x:name val="맑은 고딕"/>
      <x:family val="3"/>
    </x:font>
    <x:font>
      <x:sz val="10"/>
      <x:color theme="1"/>
      <x:name val="맑은 고딕"/>
      <x:family val="3"/>
    </x:font>
    <x:font>
      <x:b/>
      <x:sz val="10"/>
      <x:color rgb="FFFF0000"/>
      <x:name val="맑은 고딕"/>
      <x:family val="2"/>
    </x:font>
    <x:font>
      <x:b/>
      <x:sz val="10"/>
      <x:color theme="1"/>
      <x:name val="맑은 고딕"/>
      <x:family val="3"/>
    </x:font>
    <x:font>
      <x:b/>
      <x:sz val="10"/>
      <x:color rgb="FFFF0000"/>
      <x:name val="맑은 고딕"/>
      <x:family val="3"/>
    </x:font>
    <x:font>
      <x:b/>
      <x:sz val="10"/>
      <x:color rgb="FF0070C0"/>
      <x:name val="맑은 고딕"/>
      <x:family val="2"/>
    </x:font>
    <x:font>
      <x:sz val="10"/>
      <x:color rgb="FFFF0000"/>
      <x:name val="맑은 고딕"/>
      <x:family val="3"/>
    </x:font>
    <x:font>
      <x:sz val="10"/>
      <x:color rgb="FF000000"/>
      <x:name val="맑은 고딕"/>
      <x:family val="3"/>
    </x:font>
    <x:font>
      <x:sz val="10"/>
      <x:color theme="1"/>
      <x:name val="맑은 고딕"/>
      <x:family val="2"/>
    </x:font>
    <x:font>
      <x:b/>
      <x:sz val="10"/>
      <x:name val="맑은 고딕"/>
      <x:family val="3"/>
    </x:font>
    <x:font>
      <x:sz val="10"/>
      <x:name val="맑은 고딕"/>
      <x:family val="3"/>
    </x:font>
    <x:font>
      <x:sz val="10"/>
      <x:color rgb="FF000000"/>
      <x:name val="Wingdings"/>
      <x:family val="2"/>
    </x:font>
    <x:font>
      <x:sz val="8"/>
      <x:name val="돋움"/>
      <x:family val="3"/>
    </x:font>
    <x:font>
      <x:b/>
      <x:sz val="10"/>
      <x:color rgb="FF000000"/>
      <x:name val="맑은 고딕"/>
      <x:family val="3"/>
    </x:font>
    <x:font>
      <x:sz val="10"/>
      <x:color theme="1"/>
      <x:name val="맑은 고딕"/>
    </x:font>
  </x:fonts>
  <x:fills count="7">
    <x:fill>
      <x:patternFill patternType="none"/>
    </x:fill>
    <x:fill>
      <x:patternFill patternType="gray125"/>
    </x:fill>
    <x:fill>
      <x:patternFill patternType="solid">
        <x:fgColor rgb="FFFFFFCC"/>
      </x:patternFill>
    </x:fill>
    <x:fill>
      <x:patternFill patternType="solid">
        <x:fgColor rgb="FF0000FF"/>
      </x:patternFill>
    </x:fill>
    <x:fill>
      <x:patternFill patternType="solid">
        <x:fgColor rgb="FFC0CCFF"/>
      </x:patternFill>
    </x:fill>
    <x:fill>
      <x:patternFill patternType="solid">
        <x:fgColor theme="0" tint="-0.15"/>
      </x:patternFill>
    </x:fill>
    <x:fill>
      <x:patternFill patternType="solid">
        <x:fgColor rgb="FFFFFFCC"/>
      </x:patternFill>
    </x:fill>
  </x:fills>
  <x:borders count="10">
    <x:border>
      <x:left/>
      <x:right/>
      <x:top/>
      <x:bottom/>
      <x:diagonal/>
    </x:border>
    <x:border>
      <x:left style="thin">
        <x:color rgb="FFB2B2B2"/>
      </x:left>
      <x:right style="thin">
        <x:color rgb="FFB2B2B2"/>
      </x:right>
      <x:top style="thin">
        <x:color rgb="FFB2B2B2"/>
      </x:top>
      <x:bottom style="thin">
        <x:color rgb="FFB2B2B2"/>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x:top/>
      <x:bottom/>
      <x:diagonal/>
    </x:border>
  </x:borders>
  <x:cellStyleXfs count="2">
    <x:xf numFmtId="0" fontId="0" fillId="0" borderId="0">
      <x:alignment vertical="center"/>
    </x:xf>
    <x:xf numFmtId="0" fontId="1" fillId="2" borderId="1" applyNumberFormat="0" applyFont="0" applyAlignment="0" applyProtection="0">
      <x:alignment vertical="center"/>
    </x:xf>
  </x:cellStyleXfs>
  <x:cellXfs count="90">
    <x:xf numFmtId="0" fontId="0" fillId="0" borderId="0" xfId="0">
      <x:alignment vertical="center"/>
    </x:xf>
    <x:xf numFmtId="0" fontId="4" fillId="4" borderId="2" xfId="0" applyFont="1" applyFill="1" applyBorder="1" applyAlignment="1">
      <x:alignment horizontal="center" vertical="center"/>
    </x:xf>
    <x:xf numFmtId="0" fontId="4" fillId="4" borderId="2" xfId="0" applyFont="1" applyFill="1" applyBorder="1" applyAlignment="1">
      <x:alignment horizontal="center" vertical="center" wrapText="1"/>
    </x:xf>
    <x:xf numFmtId="0" fontId="4" fillId="5" borderId="2" xfId="0" applyFont="1" applyFill="1" applyBorder="1" applyAlignment="1">
      <x:alignment horizontal="center" vertical="center"/>
    </x:xf>
    <x:xf numFmtId="0" fontId="3" fillId="0" borderId="2" xfId="0" applyFont="1" applyBorder="1" applyAlignment="1">
      <x:alignment horizontal="center" vertical="center"/>
    </x:xf>
    <x:xf numFmtId="0" fontId="3" fillId="0" borderId="2" xfId="0" applyFont="1" applyBorder="1" applyAlignment="1">
      <x:alignment horizontal="left" vertical="center" wrapText="1"/>
    </x:xf>
    <x:xf numFmtId="0" fontId="5" fillId="0" borderId="2" xfId="0" applyFont="1" applyBorder="1" applyAlignment="1">
      <x:alignment horizontal="left" vertical="center" wrapText="1"/>
    </x:xf>
    <x:xf numFmtId="0" fontId="3" fillId="0" borderId="0" xfId="0" applyFont="1">
      <x:alignment vertical="center"/>
    </x:xf>
    <x:xf numFmtId="0" fontId="4" fillId="0" borderId="2" xfId="0" applyFont="1" applyBorder="1" applyAlignment="1">
      <x:alignment horizontal="center" vertical="center"/>
    </x:xf>
    <x:xf numFmtId="0" fontId="3" fillId="0" borderId="2" xfId="0" applyFont="1" applyBorder="1" applyAlignment="1">
      <x:alignment horizontal="center" vertical="center" wrapText="1"/>
    </x:xf>
    <x:xf numFmtId="0" fontId="7" fillId="0" borderId="2" xfId="0" applyFont="1" applyBorder="1" applyAlignment="1">
      <x:alignment horizontal="center" vertical="center"/>
    </x:xf>
    <x:xf numFmtId="0" fontId="7" fillId="0" borderId="0" xfId="0" applyFont="1">
      <x:alignment vertical="center"/>
    </x:xf>
    <x:xf numFmtId="0" fontId="2" fillId="0" borderId="0" xfId="0" applyFont="1">
      <x:alignment vertical="center"/>
    </x:xf>
    <x:xf numFmtId="0" fontId="7" fillId="2" borderId="2" xfId="1" applyFont="1" applyBorder="1" applyAlignment="1">
      <x:alignment horizontal="center" vertical="center"/>
    </x:xf>
    <x:xf numFmtId="0" fontId="7" fillId="2" borderId="2" xfId="1" applyFont="1" applyBorder="1" applyAlignment="1">
      <x:alignment horizontal="center" vertical="center" wrapText="1"/>
    </x:xf>
    <x:xf numFmtId="0" fontId="3" fillId="0" borderId="2" xfId="0" applyFont="1" applyBorder="1" applyAlignment="1">
      <x:alignment horizontal="center" vertical="center" wrapText="1"/>
      <x:extLst>
        <x:ext uri="{C7286773-470A-42A8-94C5-96B5CB345126}">
          <xfpb:xfComplement xmlns:xfpb="http://schemas.microsoft.com/office/spreadsheetml/2022/featurepropertybag" i="0"/>
        </x:ext>
      </x:extLst>
    </x:xf>
    <x:xf numFmtId="0" fontId="6" fillId="0" borderId="0" xfId="0" applyFont="1">
      <x:alignment vertical="center"/>
    </x:xf>
    <x:xf numFmtId="0" fontId="0" fillId="0" borderId="0" xfId="0" applyAlignment="1">
      <x:alignment vertical="center" wrapText="1"/>
    </x:xf>
    <x:xf numFmtId="0" fontId="10" fillId="0" borderId="0" xfId="0" applyFont="1" applyAlignment="1">
      <x:alignment vertical="center" wrapText="1"/>
    </x:xf>
    <x:xf numFmtId="0" fontId="7" fillId="0" borderId="0" xfId="0" applyFont="1" applyAlignment="1">
      <x:alignment vertical="center" wrapText="1"/>
    </x:xf>
    <x:xf numFmtId="0" fontId="0" fillId="0" borderId="0" xfId="0" applyAlignment="1">
      <x:alignment horizontal="center" vertical="center"/>
    </x:xf>
    <x:xf numFmtId="0" fontId="11" fillId="0" borderId="0" xfId="0" applyFont="1">
      <x:alignment vertical="center"/>
    </x:xf>
    <x:xf numFmtId="0" fontId="12" fillId="0" borderId="0" xfId="0" applyFont="1" applyAlignment="1">
      <x:alignment vertical="center" wrapText="1"/>
    </x:xf>
    <x:xf numFmtId="0" fontId="13" fillId="0" borderId="0" xfId="0" applyFont="1" applyAlignment="1">
      <x:alignment vertical="center" wrapText="1"/>
    </x:xf>
    <x:xf numFmtId="0" fontId="14" fillId="0" borderId="0" xfId="0" applyFont="1" applyAlignment="1">
      <x:alignment horizontal="center" vertical="center"/>
    </x:xf>
    <x:xf numFmtId="0" fontId="7" fillId="0" borderId="0" xfId="0" applyFont="1" applyAlignment="1">
      <x:alignment horizontal="center" vertical="center" wrapText="1"/>
    </x:xf>
    <x:xf numFmtId="0" fontId="15" fillId="4" borderId="2" xfId="0" applyFont="1" applyFill="1" applyBorder="1" applyAlignment="1">
      <x:alignment horizontal="center" vertical="center"/>
    </x:xf>
    <x:xf numFmtId="0" fontId="2" fillId="0" borderId="0" xfId="0" applyFont="1" applyAlignment="1">
      <x:alignment vertical="center" wrapText="1"/>
    </x:xf>
    <x:xf numFmtId="0" fontId="9" fillId="0" borderId="0" xfId="0" applyFont="1">
      <x:alignment vertical="center"/>
    </x:xf>
    <x:xf numFmtId="0" fontId="17" fillId="0" borderId="2" xfId="0" applyFont="1" applyBorder="1" applyAlignment="1">
      <x:alignment horizontal="center" vertical="center"/>
    </x:xf>
    <x:xf numFmtId="0" fontId="17" fillId="6" borderId="2" xfId="0" applyFont="1" applyFill="1" applyBorder="1" applyAlignment="1">
      <x:alignment horizontal="center" vertical="center"/>
    </x:xf>
    <x:xf numFmtId="0" fontId="3" fillId="0" borderId="2" xfId="0" applyFont="1" applyBorder="1" applyAlignment="1">
      <x:alignment vertical="center" wrapText="1"/>
    </x:xf>
    <x:xf numFmtId="0" fontId="7" fillId="0" borderId="2" xfId="0" applyFont="1" applyBorder="1" applyAlignment="1">
      <x:alignment horizontal="center" vertical="center" wrapText="1"/>
      <x:extLst>
        <x:ext uri="{C7286773-470A-42A8-94C5-96B5CB345126}">
          <xfpb:xfComplement xmlns:xfpb="http://schemas.microsoft.com/office/spreadsheetml/2022/featurepropertybag" i="0"/>
        </x:ext>
      </x:extLst>
    </x:xf>
    <x:xf numFmtId="0" fontId="18" fillId="0" borderId="2" xfId="0" applyFont="1" applyBorder="1" applyAlignment="1">
      <x:alignment horizontal="center" vertical="center"/>
    </x:xf>
    <x:xf numFmtId="0" fontId="19" fillId="0" borderId="2" xfId="0" applyFont="1" applyBorder="1" applyAlignment="1">
      <x:alignment horizontal="left" vertical="center" wrapText="1"/>
    </x:xf>
    <x:xf numFmtId="0" fontId="4" fillId="0" borderId="2" xfId="0" applyFont="1" applyBorder="1" applyAlignment="1">
      <x:alignment horizontal="center" vertical="center" wrapText="1"/>
    </x:xf>
    <x:xf numFmtId="0" fontId="10" fillId="0" borderId="2" xfId="0" applyFont="1" applyBorder="1" applyAlignment="1">
      <x:alignment horizontal="left" vertical="center" wrapText="1"/>
    </x:xf>
    <x:xf numFmtId="0" fontId="4" fillId="0" borderId="2" xfId="0" applyFont="1" applyBorder="1" applyAlignment="1">
      <x:alignment horizontal="left" vertical="center" wrapText="1"/>
    </x:xf>
    <x:xf numFmtId="0" fontId="20" fillId="0" borderId="2" xfId="0" applyFont="1" applyBorder="1" applyAlignment="1">
      <x:alignment horizontal="left" vertical="center" wrapText="1"/>
    </x:xf>
    <x:xf numFmtId="0" fontId="15" fillId="4" borderId="2" xfId="0" applyFont="1" applyFill="1" applyBorder="1" applyAlignment="1">
      <x:alignment horizontal="center" vertical="center" wrapText="1"/>
    </x:xf>
    <x:xf numFmtId="0" fontId="8" fillId="3" borderId="6" xfId="0" applyFont="1" applyFill="1" applyBorder="1" applyAlignment="1">
      <x:alignment horizontal="center" vertical="center"/>
    </x:xf>
    <x:xf numFmtId="0" fontId="8" fillId="3" borderId="7" xfId="0" applyFont="1" applyFill="1" applyBorder="1" applyAlignment="1">
      <x:alignment horizontal="center" vertical="center"/>
    </x:xf>
    <x:xf numFmtId="0" fontId="8" fillId="3" borderId="8" xfId="0" applyFont="1" applyFill="1" applyBorder="1" applyAlignment="1">
      <x:alignment horizontal="center" vertical="center"/>
    </x:xf>
    <x:xf numFmtId="0" fontId="4" fillId="5" borderId="2" xfId="0" applyFont="1" applyFill="1" applyBorder="1" applyAlignment="1">
      <x:alignment horizontal="center" vertical="center" wrapText="1"/>
    </x:xf>
    <x:xf numFmtId="0" fontId="4" fillId="5" borderId="2" xfId="0" applyFont="1" applyFill="1" applyBorder="1" applyAlignment="1">
      <x:alignment horizontal="center" vertical="center"/>
    </x:xf>
    <x:xf numFmtId="0" fontId="4" fillId="0" borderId="7" xfId="0" applyFont="1" applyBorder="1" applyAlignment="1">
      <x:alignment horizontal="center" vertical="center" wrapText="1"/>
    </x:xf>
    <x:xf numFmtId="0" fontId="4" fillId="0" borderId="8" xfId="0" applyFont="1" applyBorder="1" applyAlignment="1">
      <x:alignment horizontal="center" vertical="center" wrapText="1"/>
    </x:xf>
    <x:xf numFmtId="0" fontId="4" fillId="5" borderId="3" xfId="0" applyFont="1" applyFill="1" applyBorder="1" applyAlignment="1">
      <x:alignment horizontal="center" vertical="center"/>
    </x:xf>
    <x:xf numFmtId="0" fontId="4" fillId="5" borderId="4" xfId="0" applyFont="1" applyFill="1" applyBorder="1" applyAlignment="1">
      <x:alignment horizontal="center" vertical="center"/>
    </x:xf>
    <x:xf numFmtId="0" fontId="4" fillId="5" borderId="5" xfId="0" applyFont="1" applyFill="1" applyBorder="1" applyAlignment="1">
      <x:alignment horizontal="center" vertical="center"/>
    </x:xf>
    <x:xf numFmtId="0" fontId="4" fillId="0" borderId="6" xfId="0" applyFont="1" applyBorder="1" applyAlignment="1">
      <x:alignment horizontal="center" vertical="center"/>
    </x:xf>
    <x:xf numFmtId="0" fontId="4" fillId="0" borderId="7" xfId="0" applyFont="1" applyBorder="1" applyAlignment="1">
      <x:alignment horizontal="center" vertical="center"/>
    </x:xf>
    <x:xf numFmtId="0" fontId="4" fillId="0" borderId="8" xfId="0" applyFont="1" applyBorder="1" applyAlignment="1">
      <x:alignment horizontal="center" vertical="center"/>
    </x:xf>
    <x:xf numFmtId="49" fontId="3" fillId="0" borderId="6" xfId="0" applyNumberFormat="1" applyFont="1" applyBorder="1" applyAlignment="1">
      <x:alignment horizontal="left" vertical="center" wrapText="1"/>
    </x:xf>
    <x:xf numFmtId="49" fontId="3" fillId="0" borderId="7" xfId="0" applyNumberFormat="1" applyFont="1" applyBorder="1" applyAlignment="1">
      <x:alignment horizontal="left" vertical="center"/>
    </x:xf>
    <x:xf numFmtId="49" fontId="3" fillId="0" borderId="8" xfId="0" applyNumberFormat="1" applyFont="1" applyBorder="1" applyAlignment="1">
      <x:alignment horizontal="left" vertical="center"/>
    </x:xf>
    <x:xf numFmtId="0" fontId="4" fillId="5" borderId="3" xfId="0" applyFont="1" applyFill="1" applyBorder="1" applyAlignment="1">
      <x:alignment horizontal="center" vertical="center" wrapText="1"/>
    </x:xf>
    <x:xf numFmtId="0" fontId="4" fillId="5" borderId="5" xfId="0" applyFont="1" applyFill="1" applyBorder="1" applyAlignment="1">
      <x:alignment horizontal="center" vertical="center" wrapText="1"/>
    </x:xf>
    <x:xf numFmtId="0" fontId="7" fillId="0" borderId="0" xfId="0" applyFont="1" applyAlignment="1">
      <x:alignment horizontal="center" vertical="center"/>
    </x:xf>
    <x:xf numFmtId="0" fontId="8" fillId="3" borderId="9" xfId="0" applyFont="1" applyFill="1" applyBorder="1" applyAlignment="1">
      <x:alignment horizontal="center" vertical="center"/>
    </x:xf>
    <x:xf numFmtId="0" fontId="8" fillId="3" borderId="0" xfId="0" applyFont="1" applyFill="1" applyAlignment="1">
      <x:alignment horizontal="center" vertical="center"/>
    </x:xf>
    <x:xf numFmtId="0" fontId="4" fillId="4" borderId="2" xfId="0" applyFont="1" applyFill="1" applyBorder="1" applyAlignment="1">
      <x:alignment horizontal="center" vertical="center"/>
    </x:xf>
    <x:xf numFmtId="0" fontId="7" fillId="0" borderId="2" xfId="0" applyFont="1" applyBorder="1" applyAlignment="1">
      <x:alignment horizontal="center" vertical="center"/>
    </x:xf>
    <x:xf numFmtId="0" fontId="9" fillId="0" borderId="2" xfId="0" applyFont="1" applyBorder="1" applyAlignment="1">
      <x:alignment horizontal="center" vertical="center"/>
      <x:extLst>
        <x:ext uri="{C7286773-470A-42A8-94C5-96B5CB345126}">
          <xfpb:xfComplement xmlns:xfpb="http://schemas.microsoft.com/office/spreadsheetml/2022/featurepropertybag" i="0"/>
        </x:ext>
      </x:extLst>
    </x:xf>
    <x:xf numFmtId="0" fontId="7" fillId="0" borderId="2" xfId="0" applyFont="1" applyBorder="1" applyAlignment="1">
      <x:alignment horizontal="center" vertical="center"/>
      <x:extLst>
        <x:ext uri="{C7286773-470A-42A8-94C5-96B5CB345126}">
          <xfpb:xfComplement xmlns:xfpb="http://schemas.microsoft.com/office/spreadsheetml/2022/featurepropertybag" i="0"/>
        </x:ext>
      </x:extLst>
    </x:xf>
    <x:xf numFmtId="0" fontId="0" fillId="0" borderId="0" xfId="0" applyAlignment="1">
      <x:alignment horizontal="center" vertical="center"/>
    </x:xf>
    <x:xf numFmtId="0" fontId="0" fillId="0" borderId="2" xfId="0" applyBorder="1" applyAlignment="1">
      <x:alignment horizontal="center" vertical="center"/>
    </x:xf>
    <x:xf numFmtId="0" fontId="0" fillId="0" borderId="2" xfId="0" applyBorder="1" applyAlignment="1">
      <x:alignment horizontal="center" vertical="center" wrapText="1"/>
    </x:xf>
    <x:xf numFmtId="0" fontId="0" fillId="0" borderId="2" xfId="0" applyBorder="1" applyAlignment="1">
      <x:alignment horizontal="left" vertical="center" wrapText="1"/>
    </x:xf>
    <x:xf numFmtId="0" fontId="0" fillId="0" borderId="2" xfId="0" applyBorder="1" applyAlignment="1">
      <x:alignment horizontal="left" vertical="center"/>
    </x:xf>
    <x:xf numFmtId="0" fontId="16" fillId="3" borderId="2" xfId="0" applyFont="1" applyFill="1" applyBorder="1" applyAlignment="1">
      <x:alignment horizontal="center" vertical="center"/>
    </x:xf>
    <x:xf numFmtId="0" fontId="0" fillId="3" borderId="2" xfId="0" applyFill="1" applyBorder="1" applyAlignment="1">
      <x:alignment horizontal="center" vertical="center"/>
    </x:xf>
    <x:xf numFmtId="0" fontId="15" fillId="4" borderId="2" xfId="0" applyFont="1" applyFill="1" applyBorder="1" applyAlignment="1">
      <x:alignment horizontal="center" vertical="center"/>
    </x:xf>
    <x:xf numFmtId="0" fontId="0" fillId="0" borderId="3" xfId="0" applyBorder="1" applyAlignment="1">
      <x:alignment horizontal="center" vertical="center"/>
    </x:xf>
    <x:xf numFmtId="0" fontId="0" fillId="0" borderId="5" xfId="0" applyBorder="1" applyAlignment="1">
      <x:alignment horizontal="center" vertical="center"/>
    </x:xf>
    <x:xf numFmtId="0" fontId="15" fillId="4" borderId="3" xfId="0" applyFont="1" applyFill="1" applyBorder="1" applyAlignment="1">
      <x:alignment horizontal="center" vertical="center"/>
    </x:xf>
    <x:xf numFmtId="0" fontId="0" fillId="4" borderId="5" xfId="0" applyFill="1" applyBorder="1" applyAlignment="1">
      <x:alignment horizontal="center" vertical="center"/>
    </x:xf>
    <x:xf numFmtId="0" fontId="34" fillId="0" borderId="0" xfId="0" applyFont="1">
      <x:alignment vertical="center"/>
    </x:xf>
    <x:xf numFmtId="0" fontId="3" fillId="0" borderId="2" xfId="0" applyNumberFormat="1" applyFont="1" applyFill="1" applyBorder="1" applyAlignment="1">
      <x:alignment vertical="center" wrapText="1"/>
    </x:xf>
    <x:xf numFmtId="0" fontId="3" fillId="0" borderId="2" xfId="0" applyNumberFormat="1" applyFont="1" applyFill="1" applyBorder="1" applyAlignment="1">
      <x:alignment horizontal="left" vertical="center" wrapText="1"/>
    </x:xf>
    <x:xf numFmtId="0" fontId="5" fillId="0" borderId="2" xfId="0" applyNumberFormat="1" applyFont="1" applyFill="1" applyBorder="1" applyAlignment="1">
      <x:alignment horizontal="left" vertical="center" wrapText="1"/>
    </x:xf>
    <x:xf numFmtId="0" fontId="34"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200" fontId="3" fillId="0" borderId="2" xfId="0" applyNumberFormat="1" applyFont="1" applyFill="1" applyBorder="1" applyAlignment="1">
      <x:alignment horizontal="center" vertical="center"/>
    </x:xf>
    <x:xf numFmtId="200" fontId="3" fillId="2" borderId="2" xfId="0" applyNumberFormat="1" applyFont="1" applyFill="1" applyBorder="1" applyAlignment="1">
      <x:alignment horizontal="center" vertical="center"/>
    </x:xf>
    <x:xf numFmtId="0" fontId="3" fillId="0" borderId="0" xfId="0" applyNumberFormat="1" applyFont="1" applyFill="1" applyBorder="1" applyAlignment="1">
      <x:alignment horizontal="center" vertical="center" wrapText="1"/>
    </x:xf>
    <x:xf numFmtId="0" fontId="35" fillId="0" borderId="2" xfId="0" applyNumberFormat="1" applyFont="1" applyFill="1" applyBorder="1" applyAlignment="1">
      <x:alignment horizontal="center" vertical="center" wrapText="1"/>
    </x:xf>
    <x:xf numFmtId="0" fontId="35" fillId="0" borderId="2" xfId="0" applyNumberFormat="1" applyFont="1" applyFill="1" applyBorder="1" applyAlignment="1">
      <x:alignment horizontal="center" vertical="center"/>
    </x:xf>
    <x:xf numFmtId="0" fontId="35" fillId="0" borderId="2" xfId="0" applyNumberFormat="1" applyFont="1" applyFill="1" applyBorder="1" applyAlignment="1">
      <x:alignment horizontal="left" vertical="center" wrapText="1"/>
    </x:xf>
    <x:xf numFmtId="0" fontId="35" fillId="0" borderId="2" xfId="0" applyNumberFormat="1" applyFont="1" applyFill="1" applyBorder="1" applyAlignment="1">
      <x:alignment horizontal="left" vertical="center"/>
    </x:xf>
  </x:cellXfs>
  <x:cellStyles count="2">
    <x:cellStyle name="메모" xfId="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3d13547e458c4d17" /><Relationship Type="http://schemas.openxmlformats.org/officeDocument/2006/relationships/theme" Target="/xl/theme/theme1.xml" Id="R4c6589bf3bee490a" /><Relationship Type="http://schemas.openxmlformats.org/officeDocument/2006/relationships/sheetMetadata" Target="/xl/metadata1.xml" Id="Rb6abccf498604de6" /><Relationship Type="http://schemas.microsoft.com/office/2017/06/relationships/rdRichValueStructure" Target="/xl/richData/rdrichvaluestructure.xml" Id="Rb01e6b329ca94a9b" /><Relationship Type="http://schemas.microsoft.com/office/2017/06/relationships/rdRichValue" Target="/xl/richData/rdrichvalue.xml" Id="R76a17b9a36eb4332" /><Relationship Type="http://schemas.microsoft.com/office/2017/06/relationships/rdRichValueTypes" Target="/xl/richData/rdRichValueTypes.xml" Id="Rb4613700edf04729" /><Relationship Type="http://schemas.microsoft.com/office/2022/11/relationships/FeaturePropertyBag" Target="/xl/featurePropertyBag/featurePropertyBag.xml" Id="Rd852f1cb3d194edb" /><Relationship Type="http://schemas.openxmlformats.org/officeDocument/2006/relationships/sharedStrings" Target="/xl/sharedStrings.xml" Id="R729809bf7a584294" /><Relationship Type="http://schemas.openxmlformats.org/officeDocument/2006/relationships/worksheet" Target="/xl/worksheets/sheet1.xml" Id="R101b2ca79f9f4a56" /><Relationship Type="http://schemas.openxmlformats.org/officeDocument/2006/relationships/worksheet" Target="/xl/worksheets/sheet2.xml" Id="R926bcc71470a4a54" /><Relationship Type="http://schemas.openxmlformats.org/officeDocument/2006/relationships/worksheet" Target="/xl/worksheets/sheet3.xml" Id="R2de0165c55334a3d" /><Relationship Type="http://schemas.openxmlformats.org/officeDocument/2006/relationships/worksheet" Target="/xl/worksheets/sheet4.xml" Id="R746b0a7133b94500" /></Relationships>
</file>

<file path=xl/drawings/_rels/drawing1.xml.rels>&#65279;<?xml version="1.0" encoding="utf-8"?><Relationships xmlns="http://schemas.openxmlformats.org/package/2006/relationships"><Relationship Type="http://schemas.openxmlformats.org/officeDocument/2006/relationships/image" Target="/xl/media/image.png" Id="R4efce1e59570455c" /></Relationships>
</file>

<file path=xl/drawings/drawing1.xml><?xml version="1.0" encoding="utf-8"?>
<xdr:wsDr xmlns:xdr="http://schemas.openxmlformats.org/drawingml/2006/spreadsheetDrawing">
  <xdr:twoCellAnchor editAs="oneCell">
    <xdr:from>
      <xdr:col>3</xdr:col>
      <xdr:colOff>142257</xdr:colOff>
      <xdr:row>5</xdr:row>
      <xdr:rowOff>847723</xdr:rowOff>
    </xdr:from>
    <xdr:to>
      <xdr:col>3</xdr:col>
      <xdr:colOff>4843457</xdr:colOff>
      <xdr:row>5</xdr:row>
      <xdr:rowOff>2487133</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4efce1e59570455c"/>
        <a:stretch xmlns:a="http://schemas.openxmlformats.org/drawingml/2006/main">
          <a:fillRect/>
        </a:stretch>
      </xdr:blipFill>
      <xdr:spPr>
        <a:prstGeom xmlns:a="http://schemas.openxmlformats.org/drawingml/2006/main" prst="rect"/>
      </xdr:spPr>
    </xdr:pic>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12</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6ecbeecfc714251" /></Relationships>
</file>

<file path=xl/worksheets/sheet1.xml><?xml version="1.0" encoding="utf-8"?>
<x:worksheet xmlns:x="http://schemas.openxmlformats.org/spreadsheetml/2006/main">
  <x:sheetFormatPr defaultColWidth="8.875" defaultRowHeight="16.5"/>
  <x:cols>
    <x:col min="1" max="1" width="15.5" style="7" customWidth="1"/>
    <x:col min="2" max="2" width="26.5" style="7" customWidth="1"/>
    <x:col min="3" max="3" width="62.5" style="7" customWidth="1"/>
    <x:col min="4" max="4" width="65" style="7" customWidth="1"/>
    <x:col min="5" max="5" width="8.875" customWidth="1"/>
    <x:col min="6" max="6" width="8.875" style="17" customWidth="1"/>
  </x:cols>
  <x:sheetData>
    <x:row r="1" ht="20.25">
      <x:c r="A1" s="40" t="s">
        <x:v>0</x:v>
      </x:c>
      <x:c r="B1" s="41"/>
      <x:c r="C1" s="41"/>
      <x:c r="D1" s="42"/>
    </x:row>
    <x:row r="2">
      <x:c r="A2" s="1" t="s">
        <x:v>1</x:v>
      </x:c>
      <x:c r="B2" s="1" t="s">
        <x:v>2</x:v>
      </x:c>
      <x:c r="C2" s="2" t="s">
        <x:v>3</x:v>
      </x:c>
      <x:c r="D2" s="1" t="s">
        <x:v>4</x:v>
      </x:c>
    </x:row>
    <x:row r="3" ht="44.25" customHeight="1">
      <x:c r="A3" s="47" t="s">
        <x:v>5</x:v>
      </x:c>
      <x:c r="B3" s="45" t="s">
        <x:v>6</x:v>
      </x:c>
      <x:c r="C3" s="46"/>
      <x:c r="D3" s="35" vm="1"/>
    </x:row>
    <x:row r="4" ht="51" customHeight="1">
      <x:c r="A4" s="48"/>
      <x:c r="B4" s="4" t="s">
        <x:v>7</x:v>
      </x:c>
      <x:c r="C4" s="5" t="s">
        <x:v>8</x:v>
      </x:c>
      <x:c r="D4" s="8"/>
    </x:row>
    <x:row r="5" ht="78" customHeight="1">
      <x:c r="A5" s="48"/>
      <x:c r="B5" s="9" t="s">
        <x:v>9</x:v>
      </x:c>
      <x:c r="C5" s="5" t="s">
        <x:v>10</x:v>
      </x:c>
      <x:c r="D5" s="8"/>
    </x:row>
    <x:row r="6" ht="283.5">
      <x:c r="A6" s="48"/>
      <x:c r="B6" s="4" t="s">
        <x:v>11</x:v>
      </x:c>
      <x:c r="C6" s="5" t="s">
        <x:v>12</x:v>
      </x:c>
      <x:c r="D6" s="4"/>
      <x:c r="F6" s="18"/>
    </x:row>
    <x:row r="7" ht="182.4499969482422" customHeight="1">
      <x:c r="A7" s="49"/>
      <x:c r="B7" s="8" t="s">
        <x:v>13</x:v>
      </x:c>
      <x:c r="C7" s="34" t="s">
        <x:v>14</x:v>
      </x:c>
      <x:c r="D7" s="10" vm="1"/>
      <x:c r="F7" s="18"/>
    </x:row>
    <x:row r="8" ht="94.5">
      <x:c r="A8" s="43" t="s">
        <x:v>15</x:v>
      </x:c>
      <x:c r="B8" s="4" t="s">
        <x:v>16</x:v>
      </x:c>
      <x:c r="C8" s="6" t="s">
        <x:v>17</x:v>
      </x:c>
      <x:c r="D8" s="4"/>
    </x:row>
    <x:row r="9" ht="61.5" customHeight="1">
      <x:c r="A9" s="44"/>
      <x:c r="B9" s="4" t="s">
        <x:v>18</x:v>
      </x:c>
      <x:c r="C9" s="5" t="s">
        <x:v>19</x:v>
      </x:c>
      <x:c r="D9" s="4"/>
    </x:row>
    <x:row r="10" ht="94.5">
      <x:c r="A10" s="44"/>
      <x:c r="B10" s="4" t="s">
        <x:v>20</x:v>
      </x:c>
      <x:c r="C10" s="36" t="s">
        <x:v>21</x:v>
      </x:c>
      <x:c r="D10" s="4"/>
    </x:row>
    <x:row r="11" ht="243">
      <x:c r="A11" s="44"/>
      <x:c r="B11" s="4" t="s">
        <x:v>22</x:v>
      </x:c>
      <x:c r="C11" s="31" t="s">
        <x:v>23</x:v>
      </x:c>
      <x:c r="D11" s="4"/>
    </x:row>
    <x:row r="16">
      <x:c r="B16"/>
    </x:row>
  </x:sheetData>
  <x:mergeCells>
    <x:mergeCell ref="A1:D1"/>
    <x:mergeCell ref="A8:A11"/>
    <x:mergeCell ref="B3:C3"/>
    <x:mergeCell ref="A3:A7"/>
  </x:mergeCells>
  <x:pageMargins left="0.7" right="0.7" top="0.75" bottom="0.75" header="0.3" footer="0.3"/>
  <x:drawing xmlns:r="http://schemas.openxmlformats.org/officeDocument/2006/relationships" r:id="R96ecbeecfc714251"/>
</x:worksheet>
</file>

<file path=xl/worksheets/sheet2.xml><?xml version="1.0" encoding="utf-8"?>
<x:worksheet xmlns:x="http://schemas.openxmlformats.org/spreadsheetml/2006/main">
  <x:sheetViews>
    <x:sheetView showGridLines="0" workbookViewId="0"/>
  </x:sheetViews>
  <x:sheetFormatPr defaultColWidth="8.875" defaultRowHeight="16.5"/>
  <x:cols>
    <x:col min="1" max="1" width="17.5" style="12" customWidth="1"/>
    <x:col min="2" max="2" width="4.5" style="12" customWidth="1"/>
    <x:col min="3" max="3" width="6.375" style="12" customWidth="1"/>
    <x:col min="4" max="4" width="26.5" style="12" customWidth="1"/>
    <x:col min="5" max="5" width="71.375" style="12" customWidth="1"/>
    <x:col min="6" max="6" width="10" style="12" customWidth="1"/>
    <x:col min="7" max="7" width="65" style="27" customWidth="1"/>
    <x:col min="8" max="8" width="24" customWidth="1"/>
    <x:col min="9" max="9" width="107.375" style="19" customWidth="1"/>
    <x:col min="10" max="10" width="13" style="20" customWidth="1"/>
    <x:col min="11" max="11" width="39.5" customWidth="1"/>
  </x:cols>
  <x:sheetData>
    <x:row r="1" ht="20.25">
      <x:c r="A1" s="40" t="str">
        <x:v>침지기 AAS Model 정량적 검토 Checklist</x:v>
      </x:c>
      <x:c r="B1" s="41"/>
      <x:c r="C1" s="41"/>
      <x:c r="D1" s="41"/>
      <x:c r="E1" s="41"/>
      <x:c r="F1" s="41"/>
      <x:c r="G1" s="42"/>
      <x:c r="I1" s="25"/>
      <x:c r="K1" s="20"/>
    </x:row>
    <x:row r="2">
      <x:c r="A2" s="1" t="s">
        <x:v>1</x:v>
      </x:c>
      <x:c r="B2" s="1" t="s">
        <x:v>24</x:v>
      </x:c>
      <x:c r="C2" s="1" t="s">
        <x:v>25</x:v>
      </x:c>
      <x:c r="D2" s="1" t="s">
        <x:v>26</x:v>
      </x:c>
      <x:c r="E2" s="2" t="s">
        <x:v>3</x:v>
      </x:c>
      <x:c r="F2" s="2" t="s">
        <x:v>27</x:v>
      </x:c>
      <x:c r="G2" s="2" t="s">
        <x:v>28</x:v>
      </x:c>
      <x:c r="K2" s="21"/>
    </x:row>
    <x:row r="3" ht="60" customHeight="1">
      <x:c r="A3" s="3" t="s">
        <x:v>29</x:v>
      </x:c>
      <x:c r="B3" s="4">
        <x:v>1</x:v>
      </x:c>
      <x:c r="C3" s="4" t="s">
        <x:v>30</x:v>
      </x:c>
      <x:c r="D3" s="4" t="s">
        <x:v>31</x:v>
      </x:c>
      <x:c r="E3" s="38" t="s">
        <x:v>32</x:v>
      </x:c>
      <x:c r="F3" s="15" t="b">
        <x:v>1</x:v>
      </x:c>
      <x:c r="G3" s="78" t="str">
        <x:v>충족. AssetInformation.defaultThumbnail 경로와 패키지 내 PNG 파일 일치. 침지조·원단·압착 롤러를 나타내는 이미지 확인.</x:v>
      </x:c>
      <x:c r="K3" s="21"/>
    </x:row>
    <x:row r="4" ht="55" customHeight="1">
      <x:c r="A4" s="47" t="s">
        <x:v>33</x:v>
      </x:c>
      <x:c r="B4" s="8">
        <x:v>2</x:v>
      </x:c>
      <x:c r="C4" s="8" t="s">
        <x:v>30</x:v>
      </x:c>
      <x:c r="D4" s="8" t="s">
        <x:v>16</x:v>
      </x:c>
      <x:c r="E4" s="37" t="s">
        <x:v>34</x:v>
      </x:c>
      <x:c r="F4" s="15" t="b">
        <x:v>1</x:v>
      </x:c>
      <x:c r="G4" s="78" t="str">
        <x:v>충족. 7개 SM·2,152개 SME 확인. SML 직접 하위의 무명 항목은 목록 위치로 구분하며 일반 요소의 이름과 구별함.</x:v>
      </x:c>
      <x:c r="K4" s="21"/>
    </x:row>
    <x:row r="5" ht="85" customHeight="1">
      <x:c r="A5" s="49"/>
      <x:c r="B5" s="8">
        <x:v>3</x:v>
      </x:c>
      <x:c r="C5" s="8" t="s">
        <x:v>30</x:v>
      </x:c>
      <x:c r="D5" s="8" t="s">
        <x:v>35</x:v>
      </x:c>
      <x:c r="E5" s="37" t="s">
        <x:v>36</x:v>
      </x:c>
      <x:c r="F5" s="15" t="b">
        <x:v>1</x:v>
      </x:c>
      <x:c r="G5" s="78" t="str">
        <x:v>충족. idShort 명명규칙 위반 및 같은 부모 아래의 중복 0건. 목록 항목의 무명 표기는 예외로 구분함.</x:v>
      </x:c>
      <x:c r="K5" s="21"/>
    </x:row>
    <x:row r="6" ht="85" customHeight="1">
      <x:c r="A6" s="47" t="s">
        <x:v>37</x:v>
      </x:c>
      <x:c r="B6" s="4">
        <x:v>4</x:v>
      </x:c>
      <x:c r="C6" s="4" t="s">
        <x:v>30</x:v>
      </x:c>
      <x:c r="D6" s="4" t="s">
        <x:v>18</x:v>
      </x:c>
      <x:c r="E6" s="5" t="s">
        <x:v>38</x:v>
      </x:c>
      <x:c r="F6" s="15" t="b">
        <x:v>1</x:v>
      </x:c>
      <x:c r="G6" s="79" t="str">
        <x:v>충족. AAS ID=https://www.smart-factory.kr/ids/aas/DippingMachine/0/1. administration version=0, revision=1과 일치. 제출 파일 버전은 v0.0.1.</x:v>
      </x:c>
      <x:c r="K6" s="21"/>
    </x:row>
    <x:row r="7" ht="65" customHeight="1">
      <x:c r="A7" s="48"/>
      <x:c r="B7" s="4">
        <x:v>5</x:v>
      </x:c>
      <x:c r="C7" s="4" t="s">
        <x:v>30</x:v>
      </x:c>
      <x:c r="D7" s="4" t="s">
        <x:v>39</x:v>
      </x:c>
      <x:c r="E7" s="5" t="s">
        <x:v>40</x:v>
      </x:c>
      <x:c r="F7" s="15" t="b">
        <x:v>1</x:v>
      </x:c>
      <x:c r="G7" s="80" t="str">
        <x:v>충족. Nameplate·HandoverDocumentation·TechnicalData·OperationalData 필수 4종과 TimeSeries·ProcessParameters·PredictiveMaintenance로 총 7종.</x:v>
      </x:c>
      <x:c r="K7" s="21"/>
    </x:row>
    <x:row r="8" ht="55" customHeight="1">
      <x:c r="A8" s="48"/>
      <x:c r="B8" s="4">
        <x:v>6</x:v>
      </x:c>
      <x:c r="C8" s="4" t="s">
        <x:v>41</x:v>
      </x:c>
      <x:c r="D8" s="4" t="s">
        <x:v>42</x:v>
      </x:c>
      <x:c r="E8" s="5" t="s">
        <x:v>43</x:v>
      </x:c>
      <x:c r="F8" s="15" t="b">
        <x:v>1</x:v>
      </x:c>
      <x:c r="G8" s="80" t="str">
        <x:v>충족. globalAssetId=https://www.smart-factory.kr/ids/asset/DippingMachine/0/0/1. 장비 유형명이 포함된 식별자.</x:v>
      </x:c>
      <x:c r="K8" s="21"/>
    </x:row>
    <x:row r="9" ht="28" customHeight="1">
      <x:c r="A9" s="49"/>
      <x:c r="B9" s="4">
        <x:v>7</x:v>
      </x:c>
      <x:c r="C9" s="4" t="s">
        <x:v>30</x:v>
      </x:c>
      <x:c r="D9" s="4" t="s">
        <x:v>44</x:v>
      </x:c>
      <x:c r="E9" s="5" t="s">
        <x:v>45</x:v>
      </x:c>
      <x:c r="F9" s="15" t="b">
        <x:v>1</x:v>
      </x:c>
      <x:c r="G9" s="80" t="str">
        <x:v>충족. AssetInformation.assetKind=Type.</x:v>
      </x:c>
      <x:c r="K9" s="21"/>
    </x:row>
    <x:row r="10" ht="95" customHeight="1">
      <x:c r="A10" s="47" t="s">
        <x:v>46</x:v>
      </x:c>
      <x:c r="B10" s="8">
        <x:v>8</x:v>
      </x:c>
      <x:c r="C10" s="8" t="s">
        <x:v>30</x:v>
      </x:c>
      <x:c r="D10" s="8" t="s">
        <x:v>47</x:v>
      </x:c>
      <x:c r="E10" s="37" t="s">
        <x:v>48</x:v>
      </x:c>
      <x:c r="F10" s="15" t="b">
        <x:v>1</x:v>
      </x:c>
      <x:c r="G10" s="80" t="str">
        <x:v>충족. 2026-10-07 공식 Published 디렉터리와 로컬 원본 대조: Nameplate 3.0.2, Handover 2.0.2, TechnicalData 2.0.2, TimeSeries 1.1.2, ProcessParameters Type 1.0, PredictiveMaintenance 1.0. 명세 PDF 버전과 artifact 개정번호는 구분함.</x:v>
      </x:c>
      <x:c r="K10" s="21"/>
    </x:row>
    <x:row r="11" ht="75" customHeight="1">
      <x:c r="A11" s="48"/>
      <x:c r="B11" s="4">
        <x:v>9</x:v>
      </x:c>
      <x:c r="C11" s="4" t="s">
        <x:v>30</x:v>
      </x:c>
      <x:c r="D11" s="4" t="s">
        <x:v>18</x:v>
      </x:c>
      <x:c r="E11" s="5" t="s">
        <x:v>38</x:v>
      </x:c>
      <x:c r="F11" s="15" t="b">
        <x:v>1</x:v>
      </x:c>
      <x:c r="G11" s="80" t="str">
        <x:v>충족. 7개 SM의 ID에 DippingMachine·SM명이 포함됨. 모두 /0/1로 끝나며 administration 0/1과 일치. ID 중복 없음.</x:v>
      </x:c>
      <x:c r="K11" s="23"/>
    </x:row>
    <x:row r="12" ht="195" customHeight="1">
      <x:c r="A12" s="48"/>
      <x:c r="B12" s="4">
        <x:v>10</x:v>
      </x:c>
      <x:c r="C12" s="4" t="s">
        <x:v>30</x:v>
      </x:c>
      <x:c r="D12" s="4" t="s">
        <x:v>49</x:v>
      </x:c>
      <x:c r="E12" s="5" t="s">
        <x:v>50</x:v>
      </x:c>
      <x:c r="F12" s="15" t="b">
        <x:v>1</x:v>
      </x:c>
      <x:c r="G12" s="80" t="str">
        <x:v>충족. 표준 6종의 공식 semanticId 유지. KOSMO-Submodel #3이 지적한 https://admin-shell.io/idta/nameplate/3/0/Nameplate 및 https://admin-shell-io/idta/SubmodelTemplate/ProcessParameters/1/0은 공식 원본 값이다. 자체 IRI 형식으로 바꾸지 않음. 자체 OperationalData /0/1은 administration과 일치.</x:v>
      </x:c>
      <x:c r="J12" s="24"/>
      <x:c r="K12" s="21"/>
    </x:row>
    <x:row r="13" ht="28" customHeight="1">
      <x:c r="A13" s="48"/>
      <x:c r="B13" s="4">
        <x:v>11</x:v>
      </x:c>
      <x:c r="C13" s="4" t="s">
        <x:v>30</x:v>
      </x:c>
      <x:c r="D13" s="4" t="s">
        <x:v>51</x:v>
      </x:c>
      <x:c r="E13" s="5" t="s">
        <x:v>52</x:v>
      </x:c>
      <x:c r="F13" s="15" t="b">
        <x:v>1</x:v>
      </x:c>
      <x:c r="G13" s="79" t="str">
        <x:v>충족. 7개 Submodel 모두 kind=Template.</x:v>
      </x:c>
      <x:c r="K13" s="21"/>
    </x:row>
    <x:row r="14" ht="110" customHeight="1">
      <x:c r="A14" s="49"/>
      <x:c r="B14" s="8">
        <x:v>12</x:v>
      </x:c>
      <x:c r="C14" s="8" t="s">
        <x:v>41</x:v>
      </x:c>
      <x:c r="D14" s="8" t="s">
        <x:v>53</x:v>
      </x:c>
      <x:c r="E14" s="37" t="s">
        <x:v>54</x:v>
      </x:c>
      <x:c r="F14" s="15" t="b">
        <x:v>1</x:v>
      </x:c>
      <x:c r="G14" s="79" t="str">
        <x:v>충족. TechnicalData는 표준 TechnicalPropertyAreas 아래 장비 계통과 사양 묶음 2단계. OperationalData는 계통과 목적별 Monitoring 2단계. 기계구조·처리성능·액계통·전원안전 등 분류 목적을 구분함.</x:v>
      </x:c>
      <x:c r="K14" s="21"/>
    </x:row>
    <x:row r="15" ht="45" customHeight="1">
      <x:c r="A15" s="56" t="s">
        <x:v>55</x:v>
      </x:c>
      <x:c r="B15" s="8">
        <x:v>13</x:v>
      </x:c>
      <x:c r="C15" s="8" t="s">
        <x:v>41</x:v>
      </x:c>
      <x:c r="D15" s="35" t="s">
        <x:v>56</x:v>
      </x:c>
      <x:c r="E15" s="37" t="s">
        <x:v>57</x:v>
      </x:c>
      <x:c r="F15" s="15" t="b">
        <x:v>1</x:v>
      </x:c>
      <x:c r="G15" s="79" t="str">
        <x:v>충족. Operation·BasicEventElement·Capability 요소 0건. TimeSeries는 Operation 없는 템플릿을 적용함.</x:v>
      </x:c>
      <x:c r="K15" s="21"/>
    </x:row>
    <x:row r="16" ht="195" customHeight="1">
      <x:c r="A16" s="57"/>
      <x:c r="B16" s="4">
        <x:v>14</x:v>
      </x:c>
      <x:c r="C16" s="4" t="s">
        <x:v>30</x:v>
      </x:c>
      <x:c r="D16" s="4" t="s">
        <x:v>58</x:v>
      </x:c>
      <x:c r="E16" s="5" t="s">
        <x:v>59</x:v>
      </x:c>
      <x:c r="F16" s="15" t="b">
        <x:v>1</x:v>
      </x:c>
      <x:c r="G16" s="79" t="str">
        <x:v>충족. KOSMO-CD #2 Failed는 CD 미매핑이 아니라 주소 형식 검사 오판이다. UtcTime·AddressInformation·TimeSeries·PredictiveMaintenance·RemainingUsefulLifetime·ConditionName·ListPreAlerts 7종은 공식 IDTA 원본 식별자이므로 smart-factory.kr로 바꾸면 표준 의미 연결이 손상된다. 현재 SME 2,152개→CD 327개 매핑 확인, 미매핑 0건. 최신 20261007195447_test_result.html의 CD 매핑·자료형·정의 검사는 Passed. 자동검사와 수동 대조를 구분하여 충족 판정함.</x:v>
      </x:c>
      <x:c r="K16" s="21"/>
    </x:row>
    <x:row r="17" ht="70" customHeight="1">
      <x:c r="A17" s="56" t="s">
        <x:v>60</x:v>
      </x:c>
      <x:c r="B17" s="8">
        <x:v>15</x:v>
      </x:c>
      <x:c r="C17" s="8" t="s">
        <x:v>30</x:v>
      </x:c>
      <x:c r="D17" s="8" t="s">
        <x:v>61</x:v>
      </x:c>
      <x:c r="E17" s="37" t="s">
        <x:v>62</x:v>
      </x:c>
      <x:c r="F17" s="15" t="b">
        <x:v>1</x:v>
      </x:c>
      <x:c r="G17" s="78" t="str">
        <x:v>충족. 값 보유 요소 2,001개 확인. Property·MLP·File·ReferenceElement의 빈 예시값 0건. 내부 시계열 60건의 반복 요소를 포함한 수치이며 고유 프로퍼티 종류 수와 다름.</x:v>
      </x:c>
      <x:c r="K17" s="21"/>
    </x:row>
    <x:row r="18" ht="195" customHeight="1">
      <x:c r="A18" s="57"/>
      <x:c r="B18" s="4">
        <x:v>16</x:v>
      </x:c>
      <x:c r="C18" s="4" t="s">
        <x:v>30</x:v>
      </x:c>
      <x:c r="D18" s="9" t="s">
        <x:v>63</x:v>
      </x:c>
      <x:c r="E18" s="5" t="s">
        <x:v>64</x:v>
      </x:c>
      <x:c r="F18" s="32" t="b">
        <x:v>1</x:v>
      </x:c>
      <x:c r="G18" s="78" t="str">
        <x:v>충족. 사전 속성 5종의 ECLASS REAL_MEASURE와 AAS xs:double 대응 확인. CD에 표시 단위·자료형을 보완. DeadWeight: 0173-1#02-ABD800#004 (kg); Length: 0173-1#02-ABE774#004 (mm); Width: 0173-1#02-AAG933#006 (mm); Height: 0173-1#02-BAE355#008 (mm); RatedVoltage: 0173-1#02-BAH005#008 (V). PM의 수치형/STRING 불일치는 공식 IDTA 원본에도 존재하므로 원본 보존 예외로 구분한다.</x:v>
      </x:c>
      <x:c r="K18" s="21"/>
    </x:row>
    <x:row r="19" ht="245" customHeight="1">
      <x:c r="A19" s="47" t="s">
        <x:v>65</x:v>
      </x:c>
      <x:c r="B19" s="4">
        <x:v>17</x:v>
      </x:c>
      <x:c r="C19" s="4" t="s">
        <x:v>30</x:v>
      </x:c>
      <x:c r="D19" s="4" t="s">
        <x:v>18</x:v>
      </x:c>
      <x:c r="E19" s="5" t="s">
        <x:v>66</x:v>
      </x:c>
      <x:c r="F19" s="15" t="b">
        <x:v>1</x:v>
      </x:c>
      <x:c r="G19" s="79" t="str">
        <x:v>충족. 사전 속성 5종을 ECLASS 16.0 공식 검색의 정확한 IRDI로 수정. 정격전압은 의미가 확인된 BAH005#008 적용. DeadWeight: 0173-1#02-ABD800#004 (kg); Length: 0173-1#02-ABE774#004 (mm); Width: 0173-1#02-AAG933#006 (mm); Height: 0173-1#02-BAE355#008 (mm); RatedVoltage: 0173-1#02-BAH005#008 (V). 공식 IDTA IRI는 별개로 원본 유지. ECLASS BASIC 16.0(en), https://eclass.eu/eclass-standard/content-suche, 2026-10-07 검색. IRDI·preferred_name·definition·data_type=REAL_MEASURE 확인. 공개 검색에는 고정 단위가 표시되지 않아 kg·mm·V는 이 모델의 표시 단위로 명시함.</x:v>
      </x:c>
      <x:c r="K19" s="21"/>
    </x:row>
    <x:row r="20" ht="195" customHeight="1">
      <x:c r="A20" s="48"/>
      <x:c r="B20" s="4">
        <x:v>18</x:v>
      </x:c>
      <x:c r="C20" s="9" t="s">
        <x:v>30</x:v>
      </x:c>
      <x:c r="D20" s="4" t="s">
        <x:v>67</x:v>
      </x:c>
      <x:c r="E20" s="5" t="s">
        <x:v>68</x:v>
      </x:c>
      <x:c r="F20" s="15" t="b">
        <x:v>1</x:v>
      </x:c>
      <x:c r="G20" s="79" t="str">
        <x:v>충족. 사전 속성 5종의 공식 영문 정의를 CD의 IEC 61360 definition에 반영했다. 자체 CD 영문 정의도 확인. 공식 IDTA 배포 CD에 정의가 없는 항목은 공식 원본 보존 예외로 구분하며 임의 정의로 표준을 덮어쓰지 않음. ECLASS BASIC 16.0(en), https://eclass.eu/eclass-standard/content-suche, 2026-10-07 검색. IRDI·preferred_name·definition·data_type=REAL_MEASURE 확인. 공개 검색에는 고정 단위가 표시되지 않아 kg·mm·V는 이 모델의 표시 단위로 명시함.</x:v>
      </x:c>
      <x:c r="K20" s="21"/>
    </x:row>
    <x:row r="21" ht="195" customHeight="1">
      <x:c r="A21" s="49"/>
      <x:c r="B21" s="4">
        <x:v>19</x:v>
      </x:c>
      <x:c r="C21" s="9" t="s">
        <x:v>30</x:v>
      </x:c>
      <x:c r="D21" s="4" t="s">
        <x:v>69</x:v>
      </x:c>
      <x:c r="E21" s="5" t="s">
        <x:v>70</x:v>
      </x:c>
      <x:c r="F21" s="15" t="b">
        <x:v>1</x:v>
      </x:c>
      <x:c r="G21" s="79" t="str">
        <x:v>충족. 사전 속성 5종의 dataType=REAL_MEASURE를 공식 검색과 대조하여 CD에 반영. xs:double과 수치형 대응 확인. 공식 IDTA CD의 원본 미수록·원본 불일치는 별도 예외. ECLASS BASIC 16.0(en), https://eclass.eu/eclass-standard/content-suche, 2026-10-07 검색. IRDI·preferred_name·definition·data_type=REAL_MEASURE 확인. 공개 검색에는 고정 단위가 표시되지 않아 kg·mm·V는 이 모델의 표시 단위로 명시함.</x:v>
      </x:c>
      <x:c r="K21" s="21"/>
    </x:row>
    <x:row r="22" ht="51.95000076293945" customHeight="1">
      <x:c r="A22" s="3" t="s">
        <x:v>4</x:v>
      </x:c>
      <x:c r="B22" s="53" t="s">
        <x:v>71</x:v>
      </x:c>
      <x:c r="C22" s="54"/>
      <x:c r="D22" s="54"/>
      <x:c r="E22" s="54"/>
      <x:c r="F22" s="54"/>
      <x:c r="G22" s="55"/>
      <x:c r="K22" s="21"/>
    </x:row>
    <x:row r="23">
      <x:c r="A23" s="3" t="s">
        <x:v>72</x:v>
      </x:c>
      <x:c r="B23" s="8">
        <x:v>19</x:v>
      </x:c>
      <x:c r="C23" s="50"/>
      <x:c r="D23" s="51"/>
      <x:c r="E23" s="51"/>
      <x:c r="F23" s="51"/>
      <x:c r="G23" s="52"/>
      <x:c r="K23" s="21"/>
    </x:row>
    <x:row r="24" ht="55" customHeight="1">
      <x:c r="B24" s="81" t="str">
        <x:v>검토 기준: DippingMachine_AAS_v0.0.1.aasx / 2026-10-07 / 정량 19/19 충족(공식 원본 예외·수동 대조 포함). 최종 Validator: 20261007195447_test_result.html, 68 Passed·2 Failed(오판).</x:v>
      </x:c>
      <x:c r="C24" s="82"/>
      <x:c r="D24" s="82"/>
      <x:c r="E24" s="82"/>
      <x:c r="F24" s="82"/>
      <x:c r="G24" s="82"/>
      <x:c r="K24" s="21"/>
    </x:row>
    <x:row r="25">
      <x:c r="K25" s="21"/>
    </x:row>
    <x:row r="26">
      <x:c r="K26" s="22"/>
    </x:row>
    <x:row r="29">
      <x:c r="H29" s="12"/>
    </x:row>
  </x:sheetData>
  <x:mergeCells>
    <x:mergeCell ref="C23:G23"/>
    <x:mergeCell ref="A1:G1"/>
    <x:mergeCell ref="A10:A14"/>
    <x:mergeCell ref="B22:G22"/>
    <x:mergeCell ref="A4:A5"/>
    <x:mergeCell ref="A6:A9"/>
    <x:mergeCell ref="A19:A21"/>
    <x:mergeCell ref="A15:A16"/>
    <x:mergeCell ref="A17:A18"/>
    <x:mergeCell ref="B24:G24"/>
  </x:mergeCells>
  <x:pageMargins left="0.7" right="0.7" top="0.75" bottom="0.75" header="0.3" footer="0.3"/>
</x:worksheet>
</file>

<file path=xl/worksheets/sheet3.xml><?xml version="1.0" encoding="utf-8"?>
<x:worksheet xmlns:x="http://schemas.openxmlformats.org/spreadsheetml/2006/main">
  <x:sheetFormatPr defaultColWidth="8.875" defaultRowHeight="16.5"/>
  <x:cols>
    <x:col min="1" max="4" width="9" style="11" customWidth="0"/>
    <x:col min="5" max="6" width="15" style="11" customWidth="1"/>
    <x:col min="7" max="7" width="17" style="11" customWidth="1"/>
    <x:col min="8" max="8" width="21.375" style="11" customWidth="1"/>
    <x:col min="9" max="9" width="28.5" customWidth="1"/>
  </x:cols>
  <x:sheetData>
    <x:row r="1" ht="20.25">
      <x:c r="A1" s="59" t="s">
        <x:v>73</x:v>
      </x:c>
      <x:c r="B1" s="60"/>
      <x:c r="C1" s="60"/>
      <x:c r="D1" s="60"/>
      <x:c r="E1" s="60"/>
      <x:c r="F1" s="60"/>
      <x:c r="G1" s="60"/>
      <x:c r="H1" s="60"/>
      <x:c r="I1" s="60"/>
      <x:c r="J1" s="16"/>
    </x:row>
    <x:row r="2">
      <x:c r="A2" s="61" t="s">
        <x:v>74</x:v>
      </x:c>
      <x:c r="B2" s="61"/>
      <x:c r="C2" s="61"/>
      <x:c r="D2" s="61"/>
      <x:c r="E2" s="1" t="s">
        <x:v>75</x:v>
      </x:c>
      <x:c r="F2" s="2" t="s">
        <x:v>76</x:v>
      </x:c>
      <x:c r="G2" s="1" t="s">
        <x:v>77</x:v>
      </x:c>
      <x:c r="H2" s="1" t="s">
        <x:v>78</x:v>
      </x:c>
      <x:c r="I2" s="1" t="s">
        <x:v>4</x:v>
      </x:c>
    </x:row>
    <x:row r="3">
      <x:c r="A3" s="44" t="s">
        <x:v>79</x:v>
      </x:c>
      <x:c r="B3" s="44"/>
      <x:c r="C3" s="44"/>
      <x:c r="D3" s="44"/>
      <x:c r="E3" s="63" t="s">
        <x:v>80</x:v>
      </x:c>
      <x:c r="F3" s="64"/>
      <x:c r="G3" s="10" t="n">
        <x:f>SUM(IF('AAS Model Checklist'!F3,1,0),IF('AAS Model Checklist'!F4,1,0),IF('AAS Model Checklist'!F5,1,0),IF('AAS Model Checklist'!F6,1,0),IF('AAS Model Checklist'!F7,1,0),IF('AAS Model Checklist'!F8,1,0),IF('AAS Model Checklist'!F9,1,0),IF('AAS Model Checklist'!F10,1,0),IF('AAS Model Checklist'!F11,1,0),IF('AAS Model Checklist'!F12,1,0),IF('AAS Model Checklist'!F13,1,0),IF('AAS Model Checklist'!F14,1,0),IF('AAS Model Checklist'!F15,1,0),IF('AAS Model Checklist'!F16,1,0),IF('AAS Model Checklist'!F17,1,0),IF('AAS Model Checklist'!F18,1,0),IF('AAS Model Checklist'!F19,1,0),IF('AAS Model Checklist'!F20,1,0),IF('AAS Model Checklist'!F21,1,0))</x:f>
        <x:v>19</x:v>
      </x:c>
      <x:c r="H3" s="83" t="n">
        <x:f>G3/$G$5*100</x:f>
        <x:v>100</x:v>
      </x:c>
      <x:c r="I3" s="29" t="inlineStr">
        <x:is>
          <x:t xml:space="preserve">정량 기준 판정(Validator와 별도)</x:t>
        </x:is>
      </x:c>
    </x:row>
    <x:row r="4">
      <x:c r="A4" s="44"/>
      <x:c r="B4" s="44"/>
      <x:c r="C4" s="44"/>
      <x:c r="D4" s="44"/>
      <x:c r="E4" s="63" t="s">
        <x:v>81</x:v>
      </x:c>
      <x:c r="F4" s="64"/>
      <x:c r="G4" s="33" t="n">
        <x:f>'AAS Model Checklist'!B23 - G3</x:f>
        <x:v>0</x:v>
      </x:c>
      <x:c r="H4" s="83" t="n">
        <x:f>G4/$G$5*100</x:f>
        <x:v>0</x:v>
      </x:c>
      <x:c r="I4" s="29" t="str">
        <x:v>확인 필요(충족 미확정) 항목</x:v>
      </x:c>
    </x:row>
    <x:row r="5">
      <x:c r="A5" s="44"/>
      <x:c r="B5" s="44"/>
      <x:c r="C5" s="44"/>
      <x:c r="D5" s="44"/>
      <x:c r="E5" s="13" t="s">
        <x:v>72</x:v>
      </x:c>
      <x:c r="F5" s="13" t="s">
        <x:v>82</x:v>
      </x:c>
      <x:c r="G5" s="13" t="n">
        <x:f>SUM(G3:G4)</x:f>
        <x:v>19</x:v>
      </x:c>
      <x:c r="H5" s="84" t="n">
        <x:f>SUM(H3:H4)</x:f>
        <x:v>100</x:v>
      </x:c>
      <x:c r="I5" s="30" t="s">
        <x:v>83</x:v>
      </x:c>
    </x:row>
    <x:row r="6">
      <x:c r="A6" s="44" t="s">
        <x:v>84</x:v>
      </x:c>
      <x:c r="B6" s="44"/>
      <x:c r="C6" s="44"/>
      <x:c r="D6" s="44"/>
      <x:c r="E6" s="62" t="s">
        <x:v>30</x:v>
      </x:c>
      <x:c r="F6" s="10" t="s">
        <x:v>85</x:v>
      </x:c>
      <x:c r="G6" s="10" t="n">
        <x:f>SUM(IF(AND('AAS Model Checklist'!C3="필수",'AAS Model Checklist'!F3=TRUE),1,0),IF(AND('AAS Model Checklist'!C4="필수",'AAS Model Checklist'!F4=TRUE),1,0),IF(AND('AAS Model Checklist'!C5="필수",'AAS Model Checklist'!F5=TRUE),1,0),IF(AND('AAS Model Checklist'!C6="필수",'AAS Model Checklist'!F6=TRUE),1,0),IF(AND('AAS Model Checklist'!C7="필수",'AAS Model Checklist'!F7=TRUE),1,0),IF(AND('AAS Model Checklist'!C8="필수",'AAS Model Checklist'!F8=TRUE),1,0),IF(AND('AAS Model Checklist'!C9="필수",'AAS Model Checklist'!F9=TRUE),1,0),IF(AND('AAS Model Checklist'!C10="필수",'AAS Model Checklist'!F10=TRUE),1,0),IF(AND('AAS Model Checklist'!C11="필수",'AAS Model Checklist'!F11=TRUE),1,0),IF(AND('AAS Model Checklist'!C12="필수",'AAS Model Checklist'!F12=TRUE),1,0),IF(AND('AAS Model Checklist'!C13="필수",'AAS Model Checklist'!F13=TRUE),1,0),IF(AND('AAS Model Checklist'!C14="필수",'AAS Model Checklist'!F14=TRUE),1,0),IF(AND('AAS Model Checklist'!C15="필수",'AAS Model Checklist'!F15=TRUE),1,0),IF(AND('AAS Model Checklist'!C16="필수",'AAS Model Checklist'!F16=TRUE),1,0),IF(AND('AAS Model Checklist'!C17="필수",'AAS Model Checklist'!F17=TRUE),1,0),IF(AND('AAS Model Checklist'!C18="필수",'AAS Model Checklist'!F18=TRUE),1,0),IF(AND('AAS Model Checklist'!C19="필수",'AAS Model Checklist'!F19=TRUE),1,0),IF(AND('AAS Model Checklist'!C20="필수",'AAS Model Checklist'!F20=TRUE),1,0),IF(AND('AAS Model Checklist'!C21="필수",'AAS Model Checklist'!F21=TRUE),1,0))</x:f>
        <x:v>16</x:v>
      </x:c>
      <x:c r="H6" s="83" t="n">
        <x:f>G6/$G$5*100</x:f>
        <x:v>84.21052631578947</x:v>
      </x:c>
      <x:c r="I6" s="29" t="s">
        <x:v>86</x:v>
      </x:c>
    </x:row>
    <x:row r="7">
      <x:c r="A7" s="44"/>
      <x:c r="B7" s="44"/>
      <x:c r="C7" s="44"/>
      <x:c r="D7" s="44"/>
      <x:c r="E7" s="62"/>
      <x:c r="F7" s="10" t="s">
        <x:v>87</x:v>
      </x:c>
      <x:c r="G7" s="10" t="n">
        <x:f>SUM(IF(AND('AAS Model Checklist'!C3="필수",'AAS Model Checklist'!F3=FALSE),1,0),IF(AND('AAS Model Checklist'!C4="필수",'AAS Model Checklist'!F4=FALSE),1,0),IF(AND('AAS Model Checklist'!C5="필수",'AAS Model Checklist'!F5=FALSE),1,0),IF(AND('AAS Model Checklist'!C6="필수",'AAS Model Checklist'!F6=FALSE),1,0),IF(AND('AAS Model Checklist'!C7="필수",'AAS Model Checklist'!F7=FALSE),1,0),IF(AND('AAS Model Checklist'!C8="필수",'AAS Model Checklist'!F8=FALSE),1,0),IF(AND('AAS Model Checklist'!C9="필수",'AAS Model Checklist'!F9=FALSE),1,0),IF(AND('AAS Model Checklist'!C10="필수",'AAS Model Checklist'!F10=FALSE),1,0),IF(AND('AAS Model Checklist'!C11="필수",'AAS Model Checklist'!F11=FALSE),1,0),IF(AND('AAS Model Checklist'!C12="필수",'AAS Model Checklist'!F12=FALSE),1,0),IF(AND('AAS Model Checklist'!C13="필수",'AAS Model Checklist'!F13=FALSE),1,0),IF(AND('AAS Model Checklist'!C14="필수",'AAS Model Checklist'!F14=FALSE),1,0),IF(AND('AAS Model Checklist'!C15="필수",'AAS Model Checklist'!F15=FALSE),1,0),IF(AND('AAS Model Checklist'!C16="필수",'AAS Model Checklist'!F16=FALSE),1,0),IF(AND('AAS Model Checklist'!C17="필수",'AAS Model Checklist'!F17=FALSE),1,0),IF(AND('AAS Model Checklist'!C18="필수",'AAS Model Checklist'!F18=FALSE),1,0),IF(AND('AAS Model Checklist'!C19="필수",'AAS Model Checklist'!F19=FALSE),1,0),IF(AND('AAS Model Checklist'!C20="필수",'AAS Model Checklist'!F20=FALSE),1,0),IF(AND('AAS Model Checklist'!C21="필수",'AAS Model Checklist'!F21=FALSE),1,0))</x:f>
        <x:v>0</x:v>
      </x:c>
      <x:c r="H7" s="83" t="n">
        <x:f>G7/$G$5*100</x:f>
        <x:v>0</x:v>
      </x:c>
      <x:c r="I7" s="29" t="str">
        <x:v>필수 항목 중 확인 필요</x:v>
      </x:c>
    </x:row>
    <x:row r="8">
      <x:c r="A8" s="44"/>
      <x:c r="B8" s="44"/>
      <x:c r="C8" s="44"/>
      <x:c r="D8" s="44"/>
      <x:c r="E8" s="62" t="s">
        <x:v>41</x:v>
      </x:c>
      <x:c r="F8" s="10" t="s">
        <x:v>88</x:v>
      </x:c>
      <x:c r="G8" s="10" t="n">
        <x:f>SUM(IF(AND('AAS Model Checklist'!C3="옵션",'AAS Model Checklist'!F3=TRUE),1,0),IF(AND('AAS Model Checklist'!C4="옵션",'AAS Model Checklist'!F4=TRUE),1,0),IF(AND('AAS Model Checklist'!C5="옵션",'AAS Model Checklist'!F5=TRUE),1,0),IF(AND('AAS Model Checklist'!C6="옵션",'AAS Model Checklist'!F6=TRUE),1,0),IF(AND('AAS Model Checklist'!C7="옵션",'AAS Model Checklist'!F7=TRUE),1,0),IF(AND('AAS Model Checklist'!C8="옵션",'AAS Model Checklist'!F8=TRUE),1,0),IF(AND('AAS Model Checklist'!C9="옵션",'AAS Model Checklist'!F9=TRUE),1,0),IF(AND('AAS Model Checklist'!C10="옵션",'AAS Model Checklist'!F10=TRUE),1,0),IF(AND('AAS Model Checklist'!C11="옵션",'AAS Model Checklist'!F11=TRUE),1,0),IF(AND('AAS Model Checklist'!C12="옵션",'AAS Model Checklist'!F12=TRUE),1,0),IF(AND('AAS Model Checklist'!C13="옵션",'AAS Model Checklist'!F13=TRUE),1,0),IF(AND('AAS Model Checklist'!C14="옵션",'AAS Model Checklist'!F14=TRUE),1,0),IF(AND('AAS Model Checklist'!C15="옵션",'AAS Model Checklist'!F15=TRUE),1,0),IF(AND('AAS Model Checklist'!C16="옵션",'AAS Model Checklist'!F16=TRUE),1,0),IF(AND('AAS Model Checklist'!C17="옵션",'AAS Model Checklist'!F17=TRUE),1,0),IF(AND('AAS Model Checklist'!C18="옵션",'AAS Model Checklist'!F18=TRUE),1,0),IF(AND('AAS Model Checklist'!C19="옵션",'AAS Model Checklist'!F19=TRUE),1,0),IF(AND('AAS Model Checklist'!C20="옵션",'AAS Model Checklist'!F20=TRUE),1,0),IF(AND('AAS Model Checklist'!C21="옵션",'AAS Model Checklist'!F21=TRUE),1,0))</x:f>
        <x:v>3</x:v>
      </x:c>
      <x:c r="H8" s="83" t="n">
        <x:f>G8/$G$5*100</x:f>
        <x:v>15.789473684210526</x:v>
      </x:c>
      <x:c r="I8" s="29" t="s">
        <x:v>89</x:v>
      </x:c>
    </x:row>
    <x:row r="9">
      <x:c r="A9" s="44"/>
      <x:c r="B9" s="44"/>
      <x:c r="C9" s="44"/>
      <x:c r="D9" s="44"/>
      <x:c r="E9" s="62"/>
      <x:c r="F9" s="10" t="s">
        <x:v>90</x:v>
      </x:c>
      <x:c r="G9" s="10" t="n">
        <x:f>SUM(IF(AND('AAS Model Checklist'!C3="옵션",'AAS Model Checklist'!F3=FALSE),1,0),IF(AND('AAS Model Checklist'!C4="옵션",'AAS Model Checklist'!F4=FALSE),1,0),IF(AND('AAS Model Checklist'!C5="옵션",'AAS Model Checklist'!F5=FALSE),1,0),IF(AND('AAS Model Checklist'!C6="옵션",'AAS Model Checklist'!F6=FALSE),1,0),IF(AND('AAS Model Checklist'!C7="옵션",'AAS Model Checklist'!F7=FALSE),1,0),IF(AND('AAS Model Checklist'!C8="옵션",'AAS Model Checklist'!F8=FALSE),1,0),IF(AND('AAS Model Checklist'!C9="옵션",'AAS Model Checklist'!F9=FALSE),1,0),IF(AND('AAS Model Checklist'!C10="옵션",'AAS Model Checklist'!F10=FALSE),1,0),IF(AND('AAS Model Checklist'!C11="옵션",'AAS Model Checklist'!F11=FALSE),1,0),IF(AND('AAS Model Checklist'!C12="옵션",'AAS Model Checklist'!F12=FALSE),1,0),IF(AND('AAS Model Checklist'!C13="옵션",'AAS Model Checklist'!F13=FALSE),1,0),IF(AND('AAS Model Checklist'!C14="옵션",'AAS Model Checklist'!F14=FALSE),1,0),IF(AND('AAS Model Checklist'!C15="옵션",'AAS Model Checklist'!F15=FALSE),1,0),IF(AND('AAS Model Checklist'!C16="옵션",'AAS Model Checklist'!F16=FALSE),1,0),IF(AND('AAS Model Checklist'!C17="옵션",'AAS Model Checklist'!F17=FALSE),1,0),IF(AND('AAS Model Checklist'!C18="옵션",'AAS Model Checklist'!F18=FALSE),1,0),IF(AND('AAS Model Checklist'!C19="옵션",'AAS Model Checklist'!F19=FALSE),1,0),IF(AND('AAS Model Checklist'!C20="옵션",'AAS Model Checklist'!F20=FALSE),1,0),IF(AND('AAS Model Checklist'!C21="옵션",'AAS Model Checklist'!F21=FALSE),1,0))</x:f>
        <x:v>0</x:v>
      </x:c>
      <x:c r="H9" s="83" t="n">
        <x:f>G9/$G$5*100</x:f>
        <x:v>0</x:v>
      </x:c>
      <x:c r="I9" s="29" t="s">
        <x:v>91</x:v>
      </x:c>
    </x:row>
    <x:row r="10">
      <x:c r="A10" s="44"/>
      <x:c r="B10" s="44"/>
      <x:c r="C10" s="44"/>
      <x:c r="D10" s="44"/>
      <x:c r="E10" s="13" t="s">
        <x:v>72</x:v>
      </x:c>
      <x:c r="F10" s="14" t="s">
        <x:v>82</x:v>
      </x:c>
      <x:c r="G10" s="13" t="n">
        <x:f>SUM(G6:G9)</x:f>
        <x:v>19</x:v>
      </x:c>
      <x:c r="H10" s="84" t="n">
        <x:f>SUM(H6:H9)</x:f>
        <x:v>99.99999999999999</x:v>
      </x:c>
      <x:c r="I10" s="30" t="s">
        <x:v>83</x:v>
      </x:c>
    </x:row>
    <x:row r="12" ht="42" customHeight="1">
      <x:c r="A12" s="85" t="str">
        <x:v>침지기 정량 검토 집계. True=근거로 충족 확인, False=충족 미확정. Validator 자동검사 통과율과 구분합니다.</x:v>
      </x:c>
      <x:c r="B12" s="85"/>
      <x:c r="C12" s="85"/>
      <x:c r="D12" s="85"/>
      <x:c r="E12" s="85"/>
      <x:c r="F12" s="85"/>
      <x:c r="G12" s="85"/>
      <x:c r="H12" s="85"/>
      <x:c r="I12" s="85"/>
    </x:row>
    <x:row r="13">
      <x:c r="B13" s="28"/>
    </x:row>
  </x:sheetData>
  <x:mergeCells>
    <x:mergeCell ref="A12:I12"/>
    <x:mergeCell ref="A1:I1"/>
    <x:mergeCell ref="A2:D2"/>
    <x:mergeCell ref="E6:E7"/>
    <x:mergeCell ref="E8:E9"/>
    <x:mergeCell ref="A3:D5"/>
    <x:mergeCell ref="A6:D10"/>
    <x:mergeCell ref="E3:F3"/>
    <x:mergeCell ref="E4:F4"/>
  </x:mergeCells>
  <x:pageMargins left="0.7" right="0.7" top="0.75" bottom="0.75" header="0.3" footer="0.3"/>
</x:worksheet>
</file>

<file path=xl/worksheets/sheet4.xml><?xml version="1.0" encoding="utf-8"?>
<x:worksheet xmlns:x="http://schemas.openxmlformats.org/spreadsheetml/2006/main">
  <x:sheetFormatPr defaultColWidth="8.875" defaultRowHeight="16.5"/>
  <x:cols>
    <x:col min="1" max="1" width="17.5" customWidth="1"/>
    <x:col min="2" max="2" width="14.375" customWidth="1"/>
    <x:col min="3" max="3" width="13" customWidth="1"/>
    <x:col min="4" max="4" width="25.5" customWidth="1"/>
    <x:col min="5" max="5" width="11.5" customWidth="1"/>
    <x:col min="6" max="6" width="24.375" customWidth="1"/>
  </x:cols>
  <x:sheetData>
    <x:row r="1" ht="32.25" customHeight="1">
      <x:c r="A1" s="70" t="s">
        <x:v>92</x:v>
      </x:c>
      <x:c r="B1" s="71"/>
      <x:c r="C1" s="71"/>
      <x:c r="D1" s="71"/>
      <x:c r="E1" s="71"/>
      <x:c r="F1" s="71"/>
    </x:row>
    <x:row r="2">
      <x:c r="A2" s="72" t="s">
        <x:v>93</x:v>
      </x:c>
      <x:c r="B2" s="66" t="str"/>
      <x:c r="C2" s="72" t="s">
        <x:v>94</x:v>
      </x:c>
      <x:c r="D2" s="73" t="str"/>
      <x:c r="E2" s="75" t="s">
        <x:v>95</x:v>
      </x:c>
      <x:c r="F2" s="73" t="str">
        <x:v>2026-10-07</x:v>
      </x:c>
    </x:row>
    <x:row r="3">
      <x:c r="A3" s="72"/>
      <x:c r="B3" s="66"/>
      <x:c r="C3" s="72"/>
      <x:c r="D3" s="74"/>
      <x:c r="E3" s="76"/>
      <x:c r="F3" s="74"/>
    </x:row>
    <x:row r="4" ht="245" customHeight="1">
      <x:c r="A4" s="39" t="inlineStr">
        <x:is>
          <x:t xml:space="preserve">4. 검토사항</x:t>
        </x:is>
      </x:c>
      <x:c r="B4" s="86" t="str">
        <x:v>최종 검증: 20261007195447_test_result.html, 68 Passed·2 Failed. Testing file은 DippingMachine_AAS_v0.0.1.aasx와 일치. KOSMO-Submodel #3의 공식 Nameplate·ProcessParameters IRI 2건과 KOSMO-CD #2의 공식 IRI 7건은 자체 주소 형식을 일괄 요구한 Validator 오판이다. 공식 식별자를 자체 IRI로 바꾸면 표준 의미 연결이 손상되므로 유지한다. 검사 제외 PredictiveMaintenance·TimeSeries는 공식 원본 수동 대조 근거로 구분한다.
최종 AASX SHA-256: fcd9bf7f17b5c85de75a7ca67ab7a37c6ce6eeeb525ddc385a0df358e7cdba29
HTML 자체에 해시는 없으며, 위 해시는 결과 수령 후 확인한 제출 파일의 해시다. 7 SM / 2,152 SME / 327 CD. 정량 19/19 충족은 원본 보존 예외 및 수동 대조를 포함한 판정이며 Validator 전 항목 Passed라는 뜻이 아님.</x:v>
      </x:c>
      <x:c r="C4" s="86"/>
      <x:c r="D4" s="86"/>
      <x:c r="E4" s="86"/>
      <x:c r="F4" s="86"/>
    </x:row>
    <x:row r="5" ht="160" customHeight="1">
      <x:c r="A5" s="26" t="str">
        <x:v>5. 보완 및 재검증 완료</x:v>
      </x:c>
      <x:c r="B5" s="86" t="str">
        <x:v>사전 속성 5종의 IRDI·CD 보완, 계획서·가이던스 동기화 및 그림 50 날짜 정정 완료. 보완 후 20261007195447_test_result.html를 확인하여 재검증 대기 해소. KOSMO-Submodel #3: https://admin-shell.io/idta/nameplate/3/0/Nameplate 및 https://admin-shell-io/idta/SubmodelTemplate/ProcessParameters/1/0은 적용 IDTA 원본의 semanticId다. Validator가 제시한 smart-factory.kr/ids/sm/...로 치환하지 않는다.</x:v>
      </x:c>
      <x:c r="C5" s="86"/>
      <x:c r="D5" s="86"/>
      <x:c r="E5" s="86"/>
      <x:c r="F5" s="86"/>
    </x:row>
    <x:row r="6" ht="255" customHeight="1">
      <x:c r="A6" s="26" t="s">
        <x:v>4</x:v>
      </x:c>
      <x:c r="B6" s="88" t="str">
        <x:v>충족. KOSMO-CD #2 Failed는 CD 미매핑이 아니라 주소 형식 검사 오판이다. UtcTime·AddressInformation·TimeSeries·PredictiveMaintenance·RemainingUsefulLifetime·ConditionName·ListPreAlerts 7종은 공식 IDTA 원본 식별자이므로 smart-factory.kr로 바꾸면 표준 의미 연결이 손상된다. 현재 SME 2,152개→CD 327개 매핑 확인, 미매핑 0건. 최신 20261007195447_test_result.html의 CD 매핑·자료형·정의 검사는 Passed. 자동검사와 수동 대조를 구분하여 충족 판정함.
ECLASS BASIC 16.0(en), https://eclass.eu/eclass-standard/content-suche, 2026-10-07 검색. IRDI·preferred_name·definition·data_type=REAL_MEASURE 확인. 공개 검색에는 고정 단위가 표시되지 않아 kg·mm·V는 이 모델의 표시 단위로 명시함.
공식 원본: https://github.com/admin-shell-io/submodel-templates/tree/main/published
Nameplate 3.0.2·TimeSeries 1.1.2·PredictiveMaintenance 1.0 및 TimeSeries 1.1 명세 UtcTime 대조. ECLASS 분류는 기존 36-57-03-00 / 0173-1#01-AKM128#011 유지.</x:v>
      </x:c>
      <x:c r="C6" s="88"/>
      <x:c r="D6" s="88"/>
      <x:c r="E6" s="88"/>
      <x:c r="F6" s="88"/>
    </x:row>
    <x:row r="16">
      <x:c r="A16" s="65"/>
      <x:c r="B16" s="65"/>
      <x:c r="C16" s="65"/>
      <x:c r="D16" s="65"/>
      <x:c r="E16" s="65"/>
      <x:c r="F16" s="65"/>
    </x:row>
  </x:sheetData>
  <x:mergeCells>
    <x:mergeCell ref="A16:F16"/>
    <x:mergeCell ref="B5:F5"/>
    <x:mergeCell ref="B4:F4"/>
    <x:mergeCell ref="B6:F6"/>
    <x:mergeCell ref="A1:F1"/>
    <x:mergeCell ref="A2:A3"/>
    <x:mergeCell ref="B2:B3"/>
    <x:mergeCell ref="C2:C3"/>
    <x:mergeCell ref="D2:D3"/>
    <x:mergeCell ref="E2:E3"/>
    <x:mergeCell ref="F2:F3"/>
  </x:mergeCells>
  <x:pageMargins left="0.7" right="0.7" top="0.75" bottom="0.75" header="0.3" footer="0.3"/>
</x:worksheet>
</file>