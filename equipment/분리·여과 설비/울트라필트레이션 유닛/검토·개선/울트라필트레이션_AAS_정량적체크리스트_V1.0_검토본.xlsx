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ChatGPT\AAS 제작\울트라필트레이션\울트라필트레이션 제출본\"/>
    </mc:Choice>
  </mc:AlternateContent>
  <xr:revisionPtr revIDLastSave="0" documentId="13_ncr:1_{41F9BF19-480F-43DE-B0C4-999AD997D971}" xr6:coauthVersionLast="47" xr6:coauthVersionMax="47" xr10:uidLastSave="{00000000-0000-0000-0000-000000000000}"/>
  <bookViews>
    <workbookView xWindow="1260" yWindow="2865" windowWidth="27210" windowHeight="11295" xr2:uid="{00000000-000D-0000-FFFF-FFFF00000000}"/>
  </bookViews>
  <sheets>
    <sheet name="AAS Model Checklist Information" sheetId="1" r:id="rId1"/>
    <sheet name="AAS Model Checklist" sheetId="2" r:id="rId2"/>
    <sheet name="AAS Model Checklist Result" sheetId="3" r:id="rId3"/>
    <sheet name="Additional Considera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 r="G8" i="3"/>
  <c r="G7" i="3"/>
  <c r="G6" i="3"/>
  <c r="G10" i="3" s="1"/>
  <c r="G3" i="3"/>
  <c r="G4" i="3" s="1"/>
  <c r="H7" i="3" l="1"/>
  <c r="H8" i="3"/>
  <c r="H9" i="3"/>
  <c r="G5" i="3"/>
  <c r="H4" i="3" s="1"/>
  <c r="H6" i="3"/>
  <c r="H10" i="3" l="1"/>
  <c r="H3" i="3"/>
  <c r="H5" i="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<sst xmlns="http://schemas.openxmlformats.org/spreadsheetml/2006/main" count="157" uniqueCount="106">
  <si>
    <t>AAS Model Checklist Information</t>
  </si>
  <si>
    <t>분류(대상)</t>
  </si>
  <si>
    <t>정보</t>
  </si>
  <si>
    <t>설명</t>
  </si>
  <si>
    <t>비고</t>
  </si>
  <si>
    <t>기본정보</t>
  </si>
  <si>
    <t>* 본 체크리스트는 2026년 중소기업벤처부 과제공고 기준을 대상으로 제작하였습니다.</t>
  </si>
  <si>
    <t>Id 버전</t>
  </si>
  <si>
    <t>AAS 모델링시 참조한 표준 및 근거자료에 대한 버전을 확인한다.
예시) CDD 버전, eCl@ss 버전, ETIM 버전 등</t>
  </si>
  <si>
    <t>IRDI 관련 내용</t>
  </si>
  <si>
    <t xml:space="preserve">작성하려는 항목의 IRDI가 CDD/eCl@ss에 존재하여야 하며, CDD/eCl@ss에 정의된 내용과 모두 일치해야만 CDD/eCl@ss에서 정의된 Semantic Id를 사용할 수 있다.
(예: 단위, 데이터 타입 등이 일부라도 일치하지 않으면 사용할 수 없다) </t>
  </si>
  <si>
    <t>IRI 양식</t>
  </si>
  <si>
    <r>
      <t xml:space="preserve">
구조 : 
- Submodel: </t>
    </r>
    <r>
      <rPr>
        <u/>
        <sz val="10"/>
        <color theme="1"/>
        <rFont val="맑은 고딕"/>
        <family val="3"/>
      </rPr>
      <t xml:space="preserve">KOSMO 홈페이지주소/ids/sm/AAS명/Submodel명/version
</t>
    </r>
    <r>
      <rPr>
        <sz val="10"/>
        <color theme="1"/>
        <rFont val="Calibri"/>
        <family val="3"/>
        <scheme val="minor"/>
      </rPr>
      <t xml:space="preserve">예시) https://www.smart-factory.kr/ids/sm/ACB/TechnicalData/1/0
- Submodel 외 항목: </t>
    </r>
    <r>
      <rPr>
        <u/>
        <sz val="10"/>
        <color theme="1"/>
        <rFont val="Calibri"/>
        <family val="3"/>
        <scheme val="minor"/>
      </rPr>
      <t xml:space="preserve">KOSMO 홈페이지주소/ids/카테고리/변수명/version
</t>
    </r>
    <r>
      <rPr>
        <sz val="10"/>
        <color theme="1"/>
        <rFont val="Calibri"/>
        <family val="3"/>
        <scheme val="minor"/>
      </rPr>
      <t xml:space="preserve">예시) https://www.smart-factory.kr/ids/cd/TypeOfActuator/1/0
       https://www.smart-factory.kr/ids/aas/ACB/1/0
</t>
    </r>
    <r>
      <rPr>
        <sz val="10"/>
        <color theme="1"/>
        <rFont val="맑은 고딕"/>
        <family val="3"/>
      </rPr>
      <t xml:space="preserve">* IDTA 표준 서브모델 템플릿을 사용한 경우에는 IRI를 변경하지 않고, 그대로 사용해야 한다. 단, 서브모델의 Id는 IDTA에서 정의한 IRI가 있더라도 중기부에서 정의한 구조를 사용해야 한다.
</t>
    </r>
    <r>
      <rPr>
        <b/>
        <sz val="10"/>
        <color rgb="FFFF0000"/>
        <rFont val="맑은 고딕"/>
        <family val="2"/>
      </rPr>
      <t>* AAS와 Submodel에 한하여 administration에 버전 정보를 입력하고 ID 뒷부분 '/version' 과 일치 시킬것</t>
    </r>
    <r>
      <rPr>
        <sz val="10"/>
        <color theme="1"/>
        <rFont val="맑은 고딕"/>
        <family val="3"/>
      </rPr>
      <t xml:space="preserve">
</t>
    </r>
    <r>
      <rPr>
        <sz val="10"/>
        <color theme="1"/>
        <rFont val="Calibri"/>
        <family val="3"/>
        <scheme val="minor"/>
      </rPr>
      <t xml:space="preserve">
* 용어설명
sm: Submodel
cd : ConceptDescription
aas : AAS
        </t>
    </r>
  </si>
  <si>
    <t>장비특화 Submodel 구성</t>
  </si>
  <si>
    <r>
      <rPr>
        <b/>
        <sz val="10"/>
        <color theme="1"/>
        <rFont val="Calibri"/>
        <family val="3"/>
        <scheme val="minor"/>
      </rPr>
      <t xml:space="preserve">Technical Data 및 Operational Data를 포함한 장비특화 서브모델에서 Property를 추가할 경우 2단계 이상의 계층 세분화가 되어야 한다.
* Technical Data 서브모델 세분화는 IDTA 표준 구조 이후 장비특화 계층이 2단계 이상이어야 한다
</t>
    </r>
    <r>
      <rPr>
        <b/>
        <sz val="10"/>
        <color rgb="FFFF0000"/>
        <rFont val="맑은 고딕"/>
        <family val="3"/>
      </rPr>
      <t>* 각 계층과 컬렉션은 명확한 분류 목적을 가져야 하며, 별도의 모델링 근거 없이 단순히 하위 요소만을 포함하는 중간 SMC는 계층 세분화 요건을 충족하지 않은 것으로 판단함.</t>
    </r>
    <r>
      <rPr>
        <b/>
        <sz val="10"/>
        <color rgb="FF0070C0"/>
        <rFont val="Calibri"/>
        <family val="2"/>
        <scheme val="minor"/>
      </rPr>
      <t xml:space="preserve">
</t>
    </r>
  </si>
  <si>
    <t>체크리스트
참조/공통체크사항</t>
  </si>
  <si>
    <t>idShort 설정여부</t>
  </si>
  <si>
    <r>
      <t>idShort가 설정되어 있는지 확인한다.
* Naming rule/Convention (권고사항)
① 공백, 특수문</t>
    </r>
    <r>
      <rPr>
        <sz val="10"/>
        <color theme="1"/>
        <rFont val="Calibri"/>
        <family val="3"/>
        <scheme val="minor"/>
      </rPr>
      <t xml:space="preserve">자(‘_’, underbar, </t>
    </r>
    <r>
      <rPr>
        <sz val="10"/>
        <color rgb="FFFF0000"/>
        <rFont val="맑은 고딕"/>
        <family val="3"/>
      </rPr>
      <t xml:space="preserve">‘-‘, hyphen </t>
    </r>
    <r>
      <rPr>
        <sz val="10"/>
        <color theme="1"/>
        <rFont val="Calibri"/>
        <family val="3"/>
        <scheme val="minor"/>
      </rPr>
      <t>제외)를</t>
    </r>
    <r>
      <rPr>
        <sz val="10"/>
        <color rgb="FF000000"/>
        <rFont val="Calibri"/>
        <family val="3"/>
        <scheme val="minor"/>
      </rPr>
      <t xml:space="preserve"> 포함하지 않음
② 일관된 표기법 사용 / 예) 모든 단어를 띄어쓰기 없이 대문자로 시작
예시) "Rated voltage" -&gt; "RatedVoltage" 또는 "Rated_Voltage" 등등</t>
    </r>
  </si>
  <si>
    <t>Id</t>
  </si>
  <si>
    <t>각 항목의 Id 양식을 확인하고, IRDI 형식인지 IRI 형식인지 구분한다.
IRDI인 경우, 해당 항목이 CDD/Ecl@ss에 존재하여야 한다.
IRI인 경우, 정해진 양식을 준수하고 있는지 확인한다.</t>
  </si>
  <si>
    <t>description 또는 definition 여부</t>
  </si>
  <si>
    <t>해당 항목에 대한 description 또는 definition이 작성되어 있는지 확인한다.
모든 서브모델 엘리먼트는 시맨틱 정보를 정의하는 정상적인 Concept Description(CD)을 가져야 함 
정상적인 CD란 Preferred Name, Definition를 필수 포함하고, 선택적으로 적절한 DataType, Unit이 포함되어야 함 
단, Definition의 경우 영문으로 작성된 정의는 반드시 포함되어야 함</t>
  </si>
  <si>
    <t>기타</t>
  </si>
  <si>
    <r>
      <t xml:space="preserve">① IDTA가 배포한 서브모델 내부에 자체적으로 포함되어 있는 오류에 대해서는 수정하지 않아야 한다.
예시) IRDI 2개 포함, definition 미작성 등 
② Ecl@ss, CDD에서 정의되어 있지 않은 definition은 자체적으로 정의하지 않고 그대로 사용하여야 한다.
</t>
    </r>
    <r>
      <rPr>
        <sz val="10"/>
        <color theme="1"/>
        <rFont val="맑은 고딕"/>
        <family val="3"/>
      </rPr>
      <t>③ Property의 완성도 및 충실도에 대한 정성적 평가를 진행한다. 즉, 본 체크리스트를 통해 정량적으로 평가하지는 않지만, 이후 전문가들에 의해 Property 개수, Property 의미 등이 정성적으로 평가될 예정이다.</t>
    </r>
    <r>
      <rPr>
        <sz val="10"/>
        <color theme="1"/>
        <rFont val="Calibri"/>
        <family val="3"/>
        <scheme val="minor"/>
      </rPr>
      <t xml:space="preserve">
</t>
    </r>
    <r>
      <rPr>
        <b/>
        <sz val="10"/>
        <color theme="1"/>
        <rFont val="맑은 고딕"/>
        <family val="3"/>
      </rPr>
      <t>④ Technical Data, Operational Data 서브모델 포함(단, Digital Nameplate, Handover Documentation 서브모델 제외) "설비/장비의 특징을 반영하는" 최소 4개 서브모델에 대해서는, 장비 특화 추가 프로퍼티 항목에 대한 value example을  참조모델 및 활용 가이던스 문서에 제시해야 한다.</t>
    </r>
    <r>
      <rPr>
        <sz val="10"/>
        <color theme="1"/>
        <rFont val="맑은 고딕"/>
        <family val="3"/>
      </rPr>
      <t xml:space="preserve">
</t>
    </r>
    <r>
      <rPr>
        <sz val="10"/>
        <color theme="1"/>
        <rFont val="맑은 고딕"/>
        <family val="2"/>
      </rPr>
      <t>⑤ 모</t>
    </r>
    <r>
      <rPr>
        <sz val="10"/>
        <color theme="1"/>
        <rFont val="맑은 고딕"/>
        <family val="3"/>
      </rPr>
      <t>델 제출 시에는 "「AAS 제조데이터 표준 참조모델 사전 검증 보고서」 작성 요령"에 따라 사전 검증보고서를 제출하여야 한다.</t>
    </r>
  </si>
  <si>
    <t>번호</t>
  </si>
  <si>
    <t>중요도</t>
  </si>
  <si>
    <t>체크사항</t>
  </si>
  <si>
    <t>체크</t>
  </si>
  <si>
    <t>비고 (검토의견)</t>
  </si>
  <si>
    <t>기본사항</t>
  </si>
  <si>
    <t>필수</t>
  </si>
  <si>
    <t>Thumnail</t>
  </si>
  <si>
    <t>AASX 파일에 Thumbnail 이미지가 포함되어 있으며, AssetInformation의 defaultThumbnail에 동일한 경로가 설정되어 있는지 확인한다.</t>
  </si>
  <si>
    <t>공통</t>
  </si>
  <si>
    <t>idShort가 설정되어 있는지 확인한다.</t>
  </si>
  <si>
    <t>idShort 명명규칙</t>
  </si>
  <si>
    <r>
      <t>idShort가 정의된 양식을 준수하고 있는지 확인한다.
※ 예외사항</t>
    </r>
    <r>
      <rPr>
        <b/>
        <sz val="10"/>
        <color theme="1"/>
        <rFont val="Calibri"/>
        <family val="3"/>
        <scheme val="minor"/>
      </rPr>
      <t xml:space="preserve">
</t>
    </r>
    <r>
      <rPr>
        <b/>
        <sz val="10"/>
        <color rgb="FFFF0000"/>
        <rFont val="맑은 고딕"/>
        <family val="3"/>
      </rPr>
      <t>Submodel Element List의 하위에 속하는 Submodel Element는 idShort를 작성하지 않아도 되며, 작성하는 경우 명명규칙을 준수하여야 함</t>
    </r>
  </si>
  <si>
    <t>AAS</t>
  </si>
  <si>
    <r>
      <t xml:space="preserve">각 항목의 Id 양식을 확인하고, IRDI 형식인지 IRI 형식인지 구분한다.
IRI인 경우, 정해진 양식을 준수하고 있는지 확인한다.
</t>
    </r>
    <r>
      <rPr>
        <b/>
        <sz val="10"/>
        <color rgb="FFFF0000"/>
        <rFont val="맑은 고딕"/>
        <family val="3"/>
      </rPr>
      <t>* administration에 버전 정보를 입력하고 ID 뒷부분 '/version' 과 일치 시킬것</t>
    </r>
  </si>
  <si>
    <t>Submodel 구성</t>
  </si>
  <si>
    <r>
      <t>AAS 모델링에서 필수적인 성격을 지닌 아래의 4가지 Submodel이 포함되어 있으며</t>
    </r>
    <r>
      <rPr>
        <b/>
        <sz val="10"/>
        <color theme="1"/>
        <rFont val="Calibri"/>
        <family val="3"/>
        <scheme val="minor"/>
      </rPr>
      <t xml:space="preserve"> 총 6종 이상 8종 이하의 Submodel로 구성되어 있는지 확인한다.</t>
    </r>
    <r>
      <rPr>
        <sz val="10"/>
        <color theme="1"/>
        <rFont val="Calibri"/>
        <family val="3"/>
        <scheme val="minor"/>
      </rPr>
      <t xml:space="preserve">
① </t>
    </r>
    <r>
      <rPr>
        <b/>
        <sz val="10"/>
        <color theme="1"/>
        <rFont val="Calibri"/>
        <family val="3"/>
        <scheme val="minor"/>
      </rPr>
      <t>Digital Nameplate</t>
    </r>
    <r>
      <rPr>
        <sz val="10"/>
        <color theme="1"/>
        <rFont val="Calibri"/>
        <family val="3"/>
        <scheme val="minor"/>
      </rPr>
      <t xml:space="preserve">, ② </t>
    </r>
    <r>
      <rPr>
        <b/>
        <sz val="10"/>
        <color theme="1"/>
        <rFont val="맑은 고딕"/>
        <family val="3"/>
      </rPr>
      <t>Handover Documentation,</t>
    </r>
    <r>
      <rPr>
        <sz val="10"/>
        <color theme="1"/>
        <rFont val="Calibri"/>
        <family val="3"/>
        <scheme val="minor"/>
      </rPr>
      <t xml:space="preserve">
③ Technical Data, ④ </t>
    </r>
    <r>
      <rPr>
        <sz val="10"/>
        <color theme="1"/>
        <rFont val="맑은 고딕"/>
        <family val="3"/>
      </rPr>
      <t>Operational Data</t>
    </r>
  </si>
  <si>
    <t>옵션</t>
  </si>
  <si>
    <t>globalAssetId 여부</t>
  </si>
  <si>
    <t>globalAssetId가 설정되어 있는지 확인한다.</t>
  </si>
  <si>
    <t>Type종류</t>
  </si>
  <si>
    <t>'kind'가 'Type'으로 지정되어 있는지 확인한다.</t>
  </si>
  <si>
    <t>Submodel</t>
  </si>
  <si>
    <t>최신 Version 여부</t>
  </si>
  <si>
    <t>IDTA 서브모델 템플릿을 활용하는 경우, 최신 버전의 템플릿을 사용하고 있는지 확인한다.</t>
  </si>
  <si>
    <t>Semantic ID</t>
  </si>
  <si>
    <r>
      <t xml:space="preserve">Semantic ID가 작성되어 있는지 확인한다. 
</t>
    </r>
    <r>
      <rPr>
        <sz val="10"/>
        <color theme="1"/>
        <rFont val="맑은 고딕"/>
        <family val="3"/>
      </rPr>
      <t>표준 서브모델이 아닌 경우, 적절한 형식의 IRI 식별자인지 확인한다.</t>
    </r>
  </si>
  <si>
    <t>kind</t>
  </si>
  <si>
    <t>'kind'가 'Template'으로 지정되어 있는지 확인한다</t>
  </si>
  <si>
    <t>계층 세분화</t>
  </si>
  <si>
    <r>
      <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t>
    </r>
    <r>
      <rPr>
        <b/>
        <sz val="10"/>
        <color rgb="FFFF0000"/>
        <rFont val="맑은 고딕"/>
        <family val="3"/>
      </rPr>
      <t>* 각 계층과 컬렉션은 명확한 분류 목적을 가져야 하며, 별도의 모델링 근거 없이 단순히 하위 요소만을 포함하는 중간 SMC는 계층 세분화 요건을 충족하지 않은 것으로 판단함.</t>
    </r>
  </si>
  <si>
    <t xml:space="preserve">SME
(Submodel Element) </t>
  </si>
  <si>
    <t>특수 SME 배제 여부</t>
  </si>
  <si>
    <r>
      <t xml:space="preserve">AAS 참조모델 개발 시 사용을 지양하는 Operation, BasicEventElement, </t>
    </r>
    <r>
      <rPr>
        <b/>
        <sz val="10"/>
        <color rgb="FFFF0000"/>
        <rFont val="맑은 고딕"/>
        <family val="3"/>
      </rPr>
      <t xml:space="preserve">Capability </t>
    </r>
    <r>
      <rPr>
        <b/>
        <sz val="10"/>
        <color theme="1"/>
        <rFont val="Calibri"/>
        <family val="3"/>
        <scheme val="minor"/>
      </rPr>
      <t>엘리먼트가 사용되지 않았는지 확인한다.</t>
    </r>
  </si>
  <si>
    <t>Concept Description 매핑여부</t>
  </si>
  <si>
    <t xml:space="preserve">Submodel Elements가 Concept Description과 올바르게 매핑되어 있는지 확인한다 </t>
  </si>
  <si>
    <t>SME 중
Property</t>
  </si>
  <si>
    <t>value 값 여부</t>
  </si>
  <si>
    <r>
      <t xml:space="preserve">value값에 Example Data가 기입 되었는지 확인한다. 
</t>
    </r>
    <r>
      <rPr>
        <b/>
        <sz val="10"/>
        <color rgb="FFFF0000"/>
        <rFont val="맑은 고딕"/>
        <family val="3"/>
      </rPr>
      <t>* DigitalNameplate, HandoverDocumentation 제외</t>
    </r>
  </si>
  <si>
    <t>Concept Description과 
data type 매칭여부</t>
  </si>
  <si>
    <t>valueType이 설정되어야 하며, 
연결된 Concept Description의 dataType과 매칭되는 데이터 타입으로 설정되어야 한다</t>
  </si>
  <si>
    <t>ConceptDescription</t>
  </si>
  <si>
    <t>각 항목의 Id 양식을 확인하고, IRDI 형식인지 IRI 형식인지 구분한다.
* IRDI인 경우, 해당 항목이 CDD/Ecl@ss에 존재하여야 한다.
* IRI인 경우, 정해진 양식을 준수하고 있는지 확인한다.</t>
  </si>
  <si>
    <t>definition 여부</t>
  </si>
  <si>
    <t>해당 항목에 대한 definition이 작성되어 있는지 확인한다.
* description이 작성되어 있는 경우도 포함</t>
  </si>
  <si>
    <t>dataType 설정여부</t>
  </si>
  <si>
    <t>Concept Description의 dataType이 설정되어 있는지 확인한다
* eCl@ss/CDD에서 dataType이 정의되어 있지 않은 경우는 제외</t>
  </si>
  <si>
    <t>-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t>
  </si>
  <si>
    <t>합계</t>
  </si>
  <si>
    <t>AAS Model Checklist Result</t>
  </si>
  <si>
    <t>분류</t>
  </si>
  <si>
    <t>기준항목</t>
  </si>
  <si>
    <t>세부항목</t>
  </si>
  <si>
    <t>개수</t>
  </si>
  <si>
    <t>%</t>
  </si>
  <si>
    <t>단순통계</t>
  </si>
  <si>
    <t></t>
  </si>
  <si>
    <t>체크사항 충족 항목</t>
  </si>
  <si>
    <t></t>
  </si>
  <si>
    <t>체크사항 불충족 항목</t>
  </si>
  <si>
    <t>-</t>
  </si>
  <si>
    <t>총 체크사항</t>
  </si>
  <si>
    <t>'중요도'기준 통계</t>
  </si>
  <si>
    <r>
      <t xml:space="preserve">"필수" 中 </t>
    </r>
    <r>
      <rPr>
        <sz val="10"/>
        <color theme="1"/>
        <rFont val="Wingdings"/>
        <family val="2"/>
      </rPr>
      <t></t>
    </r>
  </si>
  <si>
    <t>필수 체크사항 충족 항목</t>
  </si>
  <si>
    <r>
      <t xml:space="preserve">"필수" 中 </t>
    </r>
    <r>
      <rPr>
        <sz val="10"/>
        <color theme="1"/>
        <rFont val="Wingdings"/>
        <family val="2"/>
      </rPr>
      <t></t>
    </r>
  </si>
  <si>
    <t>필수 체크사항 불충족 항목</t>
  </si>
  <si>
    <r>
      <t xml:space="preserve">"옵션" 中 </t>
    </r>
    <r>
      <rPr>
        <sz val="10"/>
        <color theme="1"/>
        <rFont val="Wingdings"/>
        <family val="2"/>
      </rPr>
      <t></t>
    </r>
  </si>
  <si>
    <t>옵션 체크사항 충족 항목</t>
  </si>
  <si>
    <r>
      <t xml:space="preserve">"옵션" 中 </t>
    </r>
    <r>
      <rPr>
        <sz val="10"/>
        <color theme="1"/>
        <rFont val="Wingdings"/>
        <family val="2"/>
      </rPr>
      <t></t>
    </r>
  </si>
  <si>
    <t>옵션 체크사항 불충족 항목</t>
  </si>
  <si>
    <t>※ "AAS Model Checklist" sheet에서 각 체크사항에 대해 충족/불충족 항목들에 대한 개수를 정리한 시트입니다.</t>
  </si>
  <si>
    <t>추가 검토사항</t>
  </si>
  <si>
    <t>1. 검토자</t>
  </si>
  <si>
    <t>2. 소속</t>
  </si>
  <si>
    <t>3. 검토일</t>
  </si>
  <si>
    <t>4. 검토사항</t>
  </si>
  <si>
    <t>5. 기타사항</t>
  </si>
  <si>
    <t>울트라필트레이션 AAS Model 정량적 검토 Checklist</t>
  </si>
  <si>
    <t>충족 (기존 검토·사용자 확인)</t>
  </si>
  <si>
    <t>기존 제작 검토결과와 사용자 최종 검증 완료 확인을 반영함. 이번 정리는 별도 Validator 재실행 결과가 아님.</t>
  </si>
  <si>
    <t>대상: UltrafiltrationUnit_AAS_V1.0.aasx (명명규칙 수정본 사본). IDTA 공식 원본 내부의 중복 언어 및 정의 예외는 원본 유지 지침을 적용함.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</si>
</sst>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맑은 고딕"/>
    </font>
    <font>
      <sz val="11"/>
      <color theme="1"/>
      <name val="맑은 고딕"/>
      <family val="3"/>
      <charset val="129"/>
    </font>
    <font>
      <b/>
      <sz val="10"/>
      <color theme="0"/>
      <name val="맑은 고딕"/>
      <family val="3"/>
      <charset val="129"/>
    </font>
    <font>
      <sz val="10"/>
      <color theme="1"/>
      <name val="맑은 고딕"/>
      <family val="3"/>
      <charset val="129"/>
    </font>
    <font>
      <b/>
      <sz val="10"/>
      <color theme="1"/>
      <name val="맑은 고딕"/>
      <family val="3"/>
      <charset val="129"/>
    </font>
    <font>
      <sz val="10"/>
      <color rgb="FF000000"/>
      <name val="맑은 고딕"/>
      <family val="3"/>
      <charset val="129"/>
    </font>
    <font>
      <sz val="10"/>
      <color theme="1"/>
      <name val="Arial Unicode MS"/>
    </font>
    <font>
      <sz val="10"/>
      <color theme="1"/>
      <name val="맑은 고딕"/>
      <family val="3"/>
      <charset val="129"/>
    </font>
    <font>
      <b/>
      <sz val="14"/>
      <color theme="0"/>
      <name val="맑은 고딕"/>
      <family val="3"/>
      <charset val="129"/>
    </font>
    <font>
      <sz val="10"/>
      <color theme="1"/>
      <name val="Wingdings"/>
      <charset val="2"/>
    </font>
    <font>
      <sz val="10"/>
      <color theme="1"/>
      <name val="맑은 고딕"/>
      <family val="3"/>
      <charset val="129"/>
    </font>
    <font>
      <sz val="11"/>
      <color rgb="FF00B050"/>
      <name val="맑은 고딕"/>
      <family val="3"/>
      <charset val="129"/>
    </font>
    <font>
      <sz val="10"/>
      <color rgb="FF00B050"/>
      <name val="맑은 고딕"/>
      <family val="3"/>
      <charset val="129"/>
    </font>
    <font>
      <sz val="11"/>
      <color rgb="FF00B050"/>
      <name val="맑은 고딕"/>
      <family val="3"/>
      <charset val="129"/>
    </font>
    <font>
      <sz val="11"/>
      <name val="맑은 고딕"/>
      <family val="3"/>
      <charset val="129"/>
    </font>
    <font>
      <b/>
      <sz val="11"/>
      <color theme="1"/>
      <name val="맑은 고딕"/>
      <family val="3"/>
      <charset val="129"/>
    </font>
    <font>
      <b/>
      <sz val="16"/>
      <color theme="0"/>
      <name val="맑은 고딕"/>
      <family val="3"/>
      <charset val="129"/>
    </font>
    <font>
      <sz val="10"/>
      <color theme="1"/>
      <name val="맑은 고딕"/>
      <family val="3"/>
      <charset val="129"/>
    </font>
    <font>
      <b/>
      <sz val="10"/>
      <color theme="1"/>
      <name val="Arial Unicode MS"/>
    </font>
    <font>
      <b/>
      <sz val="10"/>
      <color rgb="FF0070C0"/>
      <name val="맑은 고딕"/>
      <family val="3"/>
      <charset val="129"/>
    </font>
    <font>
      <b/>
      <sz val="10"/>
      <color rgb="FFFF0000"/>
      <name val="맑은 고딕"/>
      <family val="3"/>
      <charset val="129"/>
    </font>
    <font>
      <u/>
      <sz val="10"/>
      <color theme="1"/>
      <name val="맑은 고딕"/>
      <family val="3"/>
    </font>
    <font>
      <sz val="10"/>
      <color theme="1"/>
      <name val="Calibri"/>
      <family val="3"/>
      <scheme val="minor"/>
    </font>
    <font>
      <u/>
      <sz val="10"/>
      <color theme="1"/>
      <name val="Calibri"/>
      <family val="3"/>
      <scheme val="minor"/>
    </font>
    <font>
      <sz val="10"/>
      <color theme="1"/>
      <name val="맑은 고딕"/>
      <family val="3"/>
    </font>
    <font>
      <b/>
      <sz val="10"/>
      <color rgb="FFFF0000"/>
      <name val="맑은 고딕"/>
      <family val="2"/>
    </font>
    <font>
      <b/>
      <sz val="10"/>
      <color theme="1"/>
      <name val="Calibri"/>
      <family val="3"/>
      <scheme val="minor"/>
    </font>
    <font>
      <b/>
      <sz val="10"/>
      <color rgb="FFFF0000"/>
      <name val="맑은 고딕"/>
      <family val="3"/>
    </font>
    <font>
      <b/>
      <sz val="10"/>
      <color rgb="FF0070C0"/>
      <name val="Calibri"/>
      <family val="2"/>
      <scheme val="minor"/>
    </font>
    <font>
      <sz val="10"/>
      <color rgb="FFFF0000"/>
      <name val="맑은 고딕"/>
      <family val="3"/>
    </font>
    <font>
      <sz val="10"/>
      <color rgb="FF000000"/>
      <name val="Calibri"/>
      <family val="3"/>
      <scheme val="minor"/>
    </font>
    <font>
      <b/>
      <sz val="10"/>
      <color theme="1"/>
      <name val="맑은 고딕"/>
      <family val="3"/>
    </font>
    <font>
      <sz val="10"/>
      <color theme="1"/>
      <name val="맑은 고딕"/>
      <family val="2"/>
    </font>
    <font>
      <sz val="10"/>
      <color theme="1"/>
      <name val="Wingdings"/>
      <family val="2"/>
    </font>
    <font>
      <sz val="8"/>
      <name val="돋움"/>
      <family val="3"/>
      <charset val="129"/>
    </font>
  </fonts>
  <fills count="7">
    <fill>
      <patternFill patternType="none"/>
    </fill>
    <fill>
      <patternFill patternType="gray125"/>
    </fill>
    <fill>
      <patternFill patternType="solid">
        <fgColor rgb="FFFFFFCC"/>
      </patternFill>
    </fill>
    <fill>
      <patternFill patternType="solid">
        <fgColor rgb="FF0000FF"/>
      </patternFill>
    </fill>
    <fill>
      <patternFill patternType="solid">
        <fgColor rgb="FFC0CCFF"/>
      </patternFill>
    </fill>
    <fill>
      <patternFill patternType="solid">
        <fgColor theme="0" tint="-0.14999847407452621"/>
        <bgColor indexed="65"/>
      </patternFill>
    </fill>
    <fill>
      <patternFill patternType="solid">
        <fgColor rgb="FFFFFFCC"/>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1" fillId="2" borderId="1" applyNumberFormat="0" applyFont="0" applyAlignment="0" applyProtection="0">
      <alignment vertical="center"/>
    </xf>
  </cellStyleXfs>
  <cellXfs count="76">
    <xf numFmtId="0" fontId="0" fillId="0" borderId="0" xfId="0">
      <alignment vertical="center"/>
    </xf>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0" fontId="5" fillId="0" borderId="2" xfId="0" applyFont="1" applyBorder="1" applyAlignment="1">
      <alignment horizontal="left" vertical="center" wrapText="1"/>
    </xf>
    <xf numFmtId="0" fontId="3" fillId="0" borderId="0" xfId="0" applyFont="1">
      <alignment vertical="center"/>
    </xf>
    <xf numFmtId="0" fontId="4" fillId="0" borderId="2" xfId="0" applyFont="1" applyBorder="1" applyAlignment="1">
      <alignment horizontal="center" vertical="center"/>
    </xf>
    <xf numFmtId="0" fontId="3"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0" xfId="0" applyFont="1">
      <alignment vertical="center"/>
    </xf>
    <xf numFmtId="0" fontId="2" fillId="0" borderId="0" xfId="0" applyFont="1">
      <alignment vertical="center"/>
    </xf>
    <xf numFmtId="0" fontId="7" fillId="2" borderId="2" xfId="1" applyFont="1" applyBorder="1" applyAlignment="1">
      <alignment horizontal="center" vertical="center"/>
    </xf>
    <xf numFmtId="0" fontId="7" fillId="2" borderId="2" xfId="1" applyFont="1" applyBorder="1" applyAlignment="1">
      <alignment horizontal="center" vertical="center" wrapText="1"/>
    </xf>
    <xf numFmtId="0" fontId="3"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6" fillId="0" borderId="0" xfId="0" applyFont="1">
      <alignment vertical="center"/>
    </xf>
    <xf numFmtId="0" fontId="0" fillId="0" borderId="0" xfId="0" applyAlignment="1">
      <alignment vertical="center" wrapText="1"/>
    </xf>
    <xf numFmtId="0" fontId="10"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center" vertical="center"/>
    </xf>
    <xf numFmtId="0" fontId="11" fillId="0" borderId="0" xfId="0" applyFont="1">
      <alignment vertical="center"/>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7" fillId="0" borderId="0" xfId="0" applyFont="1" applyAlignment="1">
      <alignment horizontal="center" vertical="center" wrapText="1"/>
    </xf>
    <xf numFmtId="0" fontId="15" fillId="4" borderId="2" xfId="0" applyFont="1" applyFill="1" applyBorder="1" applyAlignment="1">
      <alignment horizontal="center" vertical="center"/>
    </xf>
    <xf numFmtId="0" fontId="2" fillId="0" borderId="0" xfId="0" applyFont="1" applyAlignment="1">
      <alignment vertical="center" wrapText="1"/>
    </xf>
    <xf numFmtId="0" fontId="9" fillId="0" borderId="0" xfId="0" applyFont="1">
      <alignment vertical="center"/>
    </xf>
    <xf numFmtId="0" fontId="17" fillId="0" borderId="2" xfId="0" applyFont="1" applyBorder="1" applyAlignment="1">
      <alignment horizontal="center" vertical="center"/>
    </xf>
    <xf numFmtId="0" fontId="17" fillId="6" borderId="2" xfId="0" applyFont="1" applyFill="1" applyBorder="1" applyAlignment="1">
      <alignment horizontal="center" vertical="center"/>
    </xf>
    <xf numFmtId="0" fontId="3" fillId="0" borderId="2" xfId="0" applyFont="1" applyBorder="1" applyAlignment="1">
      <alignment vertical="center" wrapText="1"/>
    </xf>
    <xf numFmtId="0" fontId="7"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18" fillId="0" borderId="2" xfId="0" applyFont="1" applyBorder="1" applyAlignment="1">
      <alignment horizontal="center" vertical="center"/>
    </xf>
    <xf numFmtId="0" fontId="19" fillId="0" borderId="2" xfId="0" applyFont="1" applyBorder="1" applyAlignment="1">
      <alignment horizontal="left" vertical="center" wrapText="1"/>
    </xf>
    <xf numFmtId="0" fontId="4" fillId="0" borderId="2" xfId="0" applyFont="1" applyBorder="1" applyAlignment="1">
      <alignment horizontal="center" vertical="center" wrapText="1"/>
    </xf>
    <xf numFmtId="0" fontId="10" fillId="0" borderId="2" xfId="0" applyFont="1" applyBorder="1" applyAlignment="1">
      <alignment horizontal="left" vertical="center" wrapText="1"/>
    </xf>
    <xf numFmtId="0" fontId="4" fillId="0" borderId="2" xfId="0" applyFont="1" applyBorder="1" applyAlignment="1">
      <alignment horizontal="left" vertical="center" wrapText="1"/>
    </xf>
    <xf numFmtId="0" fontId="20" fillId="0" borderId="2" xfId="0" applyFont="1" applyBorder="1" applyAlignment="1">
      <alignment horizontal="left" vertical="center" wrapText="1"/>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49" fontId="3" fillId="0" borderId="6" xfId="0" applyNumberFormat="1" applyFont="1" applyBorder="1" applyAlignment="1">
      <alignment horizontal="left" vertical="center" wrapText="1"/>
    </xf>
    <xf numFmtId="49" fontId="3" fillId="0" borderId="7" xfId="0" applyNumberFormat="1" applyFont="1" applyBorder="1" applyAlignment="1">
      <alignment horizontal="left" vertical="center"/>
    </xf>
    <xf numFmtId="49" fontId="3" fillId="0" borderId="8" xfId="0" applyNumberFormat="1" applyFont="1" applyBorder="1" applyAlignment="1">
      <alignment horizontal="left" vertical="center"/>
    </xf>
    <xf numFmtId="0" fontId="4" fillId="5" borderId="3"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7" fillId="0" borderId="0" xfId="0" applyFont="1" applyAlignment="1">
      <alignment horizontal="center" vertical="center"/>
    </xf>
    <xf numFmtId="0" fontId="8" fillId="3" borderId="9" xfId="0" applyFont="1" applyFill="1" applyBorder="1" applyAlignment="1">
      <alignment horizontal="center" vertical="center"/>
    </xf>
    <xf numFmtId="0" fontId="8" fillId="3" borderId="0" xfId="0" applyFont="1" applyFill="1" applyAlignment="1">
      <alignment horizontal="center" vertical="center"/>
    </xf>
    <xf numFmtId="0" fontId="4" fillId="4" borderId="2" xfId="0" applyFont="1" applyFill="1" applyBorder="1" applyAlignment="1">
      <alignment horizontal="center" vertical="center"/>
    </xf>
    <xf numFmtId="0" fontId="7" fillId="0" borderId="2" xfId="0" applyFont="1" applyBorder="1" applyAlignment="1">
      <alignment horizontal="center" vertical="center"/>
    </xf>
    <xf numFmtId="0" fontId="9"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16" fillId="3" borderId="2" xfId="0" applyFont="1" applyFill="1" applyBorder="1" applyAlignment="1">
      <alignment horizontal="center" vertical="center"/>
    </xf>
    <xf numFmtId="0" fontId="0" fillId="3" borderId="2" xfId="0" applyFill="1" applyBorder="1" applyAlignment="1">
      <alignment horizontal="center" vertical="center"/>
    </xf>
    <xf numFmtId="0" fontId="15" fillId="4" borderId="2" xfId="0" applyFont="1"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15" fillId="4" borderId="3" xfId="0" applyFont="1" applyFill="1" applyBorder="1" applyAlignment="1">
      <alignment horizontal="center" vertical="center"/>
    </xf>
    <xf numFmtId="0" fontId="0" fillId="4" borderId="5" xfId="0" applyFill="1" applyBorder="1" applyAlignment="1">
      <alignment horizontal="center" vertical="center"/>
    </xf>
  </cellXfs>
  <cellStyles count="2">
    <cellStyle name="메모"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142257</xdr:colOff>
      <xdr:row>5</xdr:row>
      <xdr:rowOff>847723</xdr:rowOff>
    </xdr:from>
    <xdr:to>
      <xdr:col>3</xdr:col>
      <xdr:colOff>4843457</xdr:colOff>
      <xdr:row>5</xdr:row>
      <xdr:rowOff>2487133</xdr:rowOff>
    </xdr:to>
    <xdr:pic>
      <xdr:nvPicPr>
        <xdr:cNvPr id="2" name="/xl/media/image3.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workbookViewId="0">
      <selection sqref="A1:D1"/>
    </sheetView>
  </sheetViews>
  <sheetFormatPr defaultColWidth="8.875" defaultRowHeight="16.5"/>
  <cols>
    <col min="1" max="1" width="15.5" style="7" customWidth="1"/>
    <col min="2" max="2" width="26.5" style="7" customWidth="1"/>
    <col min="3" max="3" width="62.5" style="7" customWidth="1"/>
    <col min="4" max="4" width="65" style="7" customWidth="1"/>
    <col min="5" max="5" width="8.875" customWidth="1"/>
    <col min="6" max="6" width="8.875" style="17" customWidth="1"/>
  </cols>
  <sheetData>
    <row r="1" spans="1:6" ht="20.25">
      <c r="A1" s="39" t="s">
        <v>0</v>
      </c>
      <c r="B1" s="40"/>
      <c r="C1" s="40"/>
      <c r="D1" s="41"/>
    </row>
    <row r="2" spans="1:6">
      <c r="A2" s="1" t="s">
        <v>1</v>
      </c>
      <c r="B2" s="1" t="s">
        <v>2</v>
      </c>
      <c r="C2" s="2" t="s">
        <v>3</v>
      </c>
      <c r="D2" s="1" t="s">
        <v>4</v>
      </c>
    </row>
    <row r="3" spans="1:6" ht="44.25" customHeight="1">
      <c r="A3" s="46" t="s">
        <v>5</v>
      </c>
      <c r="B3" s="44" t="s">
        <v>6</v>
      </c>
      <c r="C3" s="45"/>
      <c r="D3" s="35"/>
    </row>
    <row r="4" spans="1:6" ht="51" customHeight="1">
      <c r="A4" s="47"/>
      <c r="B4" s="4" t="s">
        <v>7</v>
      </c>
      <c r="C4" s="5" t="s">
        <v>8</v>
      </c>
      <c r="D4" s="8"/>
    </row>
    <row r="5" spans="1:6" ht="78" customHeight="1">
      <c r="A5" s="47"/>
      <c r="B5" s="9" t="s">
        <v>9</v>
      </c>
      <c r="C5" s="5" t="s">
        <v>10</v>
      </c>
      <c r="D5" s="8"/>
    </row>
    <row r="6" spans="1:6" ht="274.5">
      <c r="A6" s="47"/>
      <c r="B6" s="4" t="s">
        <v>11</v>
      </c>
      <c r="C6" s="5" t="s">
        <v>12</v>
      </c>
      <c r="D6" s="4"/>
      <c r="F6" s="18"/>
    </row>
    <row r="7" spans="1:6" ht="182.45" customHeight="1">
      <c r="A7" s="48"/>
      <c r="B7" s="8" t="s">
        <v>13</v>
      </c>
      <c r="C7" s="34" t="s">
        <v>14</v>
      </c>
      <c r="D7" s="10"/>
      <c r="F7" s="18"/>
    </row>
    <row r="8" spans="1:6" ht="92.25">
      <c r="A8" s="42" t="s">
        <v>15</v>
      </c>
      <c r="B8" s="4" t="s">
        <v>16</v>
      </c>
      <c r="C8" s="6" t="s">
        <v>17</v>
      </c>
      <c r="D8" s="4"/>
    </row>
    <row r="9" spans="1:6" ht="61.5" customHeight="1">
      <c r="A9" s="43"/>
      <c r="B9" s="4" t="s">
        <v>18</v>
      </c>
      <c r="C9" s="5" t="s">
        <v>19</v>
      </c>
      <c r="D9" s="4"/>
    </row>
    <row r="10" spans="1:6" ht="94.5">
      <c r="A10" s="43"/>
      <c r="B10" s="4" t="s">
        <v>20</v>
      </c>
      <c r="C10" s="36" t="s">
        <v>21</v>
      </c>
      <c r="D10" s="4"/>
    </row>
    <row r="11" spans="1:6" ht="242.25">
      <c r="A11" s="43"/>
      <c r="B11" s="4" t="s">
        <v>22</v>
      </c>
      <c r="C11" s="31" t="s">
        <v>23</v>
      </c>
      <c r="D11" s="4"/>
    </row>
    <row r="16" spans="1:6">
      <c r="B16"/>
    </row>
  </sheetData>
  <mergeCells count="4">
    <mergeCell ref="A1:D1"/>
    <mergeCell ref="A8:A11"/>
    <mergeCell ref="B3:C3"/>
    <mergeCell ref="A3:A7"/>
  </mergeCells>
  <phoneticPr fontId="3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showGridLines="0" workbookViewId="0"/>
  </sheetViews>
  <sheetFormatPr defaultColWidth="8.875" defaultRowHeight="16.5"/>
  <cols>
    <col min="1" max="1" width="17.5" style="12" customWidth="1"/>
    <col min="2" max="2" width="4.5" style="12" customWidth="1"/>
    <col min="3" max="3" width="6.375" style="12" customWidth="1"/>
    <col min="4" max="4" width="26.5" style="12" customWidth="1"/>
    <col min="5" max="5" width="71.375" style="12" customWidth="1"/>
    <col min="6" max="6" width="10" style="12" customWidth="1"/>
    <col min="7" max="7" width="75.5" style="27" customWidth="1"/>
    <col min="8" max="8" width="24" customWidth="1"/>
    <col min="9" max="9" width="107.375" style="19" customWidth="1"/>
    <col min="10" max="10" width="13" style="20" customWidth="1"/>
    <col min="11" max="11" width="39.5" customWidth="1"/>
  </cols>
  <sheetData>
    <row r="1" spans="1:11" ht="20.25">
      <c r="A1" s="39" t="s">
        <v>102</v>
      </c>
      <c r="B1" s="40"/>
      <c r="C1" s="40"/>
      <c r="D1" s="40"/>
      <c r="E1" s="40"/>
      <c r="F1" s="40"/>
      <c r="G1" s="41"/>
      <c r="I1" s="25"/>
      <c r="K1" s="20"/>
    </row>
    <row r="2" spans="1:11">
      <c r="A2" s="1" t="s">
        <v>1</v>
      </c>
      <c r="B2" s="1" t="s">
        <v>24</v>
      </c>
      <c r="C2" s="1" t="s">
        <v>25</v>
      </c>
      <c r="D2" s="1" t="s">
        <v>26</v>
      </c>
      <c r="E2" s="2" t="s">
        <v>3</v>
      </c>
      <c r="F2" s="2" t="s">
        <v>27</v>
      </c>
      <c r="G2" s="2" t="s">
        <v>28</v>
      </c>
      <c r="K2" s="21"/>
    </row>
    <row r="3" spans="1:11" ht="27">
      <c r="A3" s="3" t="s">
        <v>29</v>
      </c>
      <c r="B3" s="4">
        <v>1</v>
      </c>
      <c r="C3" s="4" t="s">
        <v>30</v>
      </c>
      <c r="D3" s="4" t="s">
        <v>31</v>
      </c>
      <c r="E3" s="38" t="s">
        <v>32</v>
      </c>
      <c r="F3" s="15" t="b">
        <v>1</v>
      </c>
      <c r="G3" s="31" t="s">
        <v>103</v>
      </c>
      <c r="K3" s="21"/>
    </row>
    <row r="4" spans="1:11" ht="24" customHeight="1">
      <c r="A4" s="46" t="s">
        <v>33</v>
      </c>
      <c r="B4" s="8">
        <v>2</v>
      </c>
      <c r="C4" s="8" t="s">
        <v>30</v>
      </c>
      <c r="D4" s="8" t="s">
        <v>16</v>
      </c>
      <c r="E4" s="37" t="s">
        <v>34</v>
      </c>
      <c r="F4" s="15" t="b">
        <v>1</v>
      </c>
      <c r="G4" s="31" t="s">
        <v>103</v>
      </c>
      <c r="K4" s="21"/>
    </row>
    <row r="5" spans="1:11" ht="67.5">
      <c r="A5" s="48"/>
      <c r="B5" s="8">
        <v>3</v>
      </c>
      <c r="C5" s="8" t="s">
        <v>30</v>
      </c>
      <c r="D5" s="8" t="s">
        <v>35</v>
      </c>
      <c r="E5" s="37" t="s">
        <v>36</v>
      </c>
      <c r="F5" s="15" t="b">
        <v>1</v>
      </c>
      <c r="G5" s="31" t="s">
        <v>103</v>
      </c>
      <c r="K5" s="21"/>
    </row>
    <row r="6" spans="1:11" ht="54">
      <c r="A6" s="46" t="s">
        <v>37</v>
      </c>
      <c r="B6" s="4">
        <v>4</v>
      </c>
      <c r="C6" s="4" t="s">
        <v>30</v>
      </c>
      <c r="D6" s="4" t="s">
        <v>18</v>
      </c>
      <c r="E6" s="5" t="s">
        <v>38</v>
      </c>
      <c r="F6" s="15" t="b">
        <v>1</v>
      </c>
      <c r="G6" s="5" t="s">
        <v>103</v>
      </c>
      <c r="K6" s="21"/>
    </row>
    <row r="7" spans="1:11" ht="53.25">
      <c r="A7" s="47"/>
      <c r="B7" s="4">
        <v>5</v>
      </c>
      <c r="C7" s="4" t="s">
        <v>30</v>
      </c>
      <c r="D7" s="4" t="s">
        <v>39</v>
      </c>
      <c r="E7" s="5" t="s">
        <v>40</v>
      </c>
      <c r="F7" s="15" t="b">
        <v>1</v>
      </c>
      <c r="G7" s="6" t="s">
        <v>103</v>
      </c>
      <c r="K7" s="21"/>
    </row>
    <row r="8" spans="1:11" ht="24.95" customHeight="1">
      <c r="A8" s="47"/>
      <c r="B8" s="4">
        <v>6</v>
      </c>
      <c r="C8" s="4" t="s">
        <v>41</v>
      </c>
      <c r="D8" s="4" t="s">
        <v>42</v>
      </c>
      <c r="E8" s="5" t="s">
        <v>43</v>
      </c>
      <c r="F8" s="15" t="b">
        <v>1</v>
      </c>
      <c r="G8" s="6" t="s">
        <v>103</v>
      </c>
      <c r="K8" s="21"/>
    </row>
    <row r="9" spans="1:11" ht="24.95" customHeight="1">
      <c r="A9" s="48"/>
      <c r="B9" s="4">
        <v>7</v>
      </c>
      <c r="C9" s="4" t="s">
        <v>30</v>
      </c>
      <c r="D9" s="4" t="s">
        <v>44</v>
      </c>
      <c r="E9" s="5" t="s">
        <v>45</v>
      </c>
      <c r="F9" s="15" t="b">
        <v>1</v>
      </c>
      <c r="G9" s="6" t="s">
        <v>103</v>
      </c>
      <c r="K9" s="21"/>
    </row>
    <row r="10" spans="1:11" ht="33.950000000000003" customHeight="1">
      <c r="A10" s="46" t="s">
        <v>46</v>
      </c>
      <c r="B10" s="8">
        <v>8</v>
      </c>
      <c r="C10" s="8" t="s">
        <v>30</v>
      </c>
      <c r="D10" s="8" t="s">
        <v>47</v>
      </c>
      <c r="E10" s="37" t="s">
        <v>48</v>
      </c>
      <c r="F10" s="15" t="b">
        <v>1</v>
      </c>
      <c r="G10" s="6" t="inlineStr">
        <is>
          <t>충족. 기존 IDTA 버전 유지. ECLASS 16.0: 32-11-02-03 / 0173-1#01-ACJ349#020 / Membrane filter (lab). 2026-09-27 사용자 확인에 따라 적용 분류 확정 및 94번 반영 완료로 기록함.</t>
        </is>
      </c>
      <c r="K10" s="21"/>
    </row>
    <row r="11" spans="1:11" ht="54">
      <c r="A11" s="47"/>
      <c r="B11" s="4">
        <v>9</v>
      </c>
      <c r="C11" s="4" t="s">
        <v>30</v>
      </c>
      <c r="D11" s="4" t="s">
        <v>18</v>
      </c>
      <c r="E11" s="5" t="s">
        <v>38</v>
      </c>
      <c r="F11" s="15" t="b">
        <v>1</v>
      </c>
      <c r="G11" s="6" t="s">
        <v>103</v>
      </c>
      <c r="K11" s="23"/>
    </row>
    <row r="12" spans="1:11" ht="27">
      <c r="A12" s="47"/>
      <c r="B12" s="4">
        <v>10</v>
      </c>
      <c r="C12" s="4" t="s">
        <v>30</v>
      </c>
      <c r="D12" s="4" t="s">
        <v>49</v>
      </c>
      <c r="E12" s="5" t="s">
        <v>50</v>
      </c>
      <c r="F12" s="15" t="b">
        <v>1</v>
      </c>
      <c r="G12" s="6" t="s">
        <v>103</v>
      </c>
      <c r="J12" s="24"/>
      <c r="K12" s="21"/>
    </row>
    <row r="13" spans="1:11" ht="24.95" customHeight="1">
      <c r="A13" s="47"/>
      <c r="B13" s="4">
        <v>11</v>
      </c>
      <c r="C13" s="4" t="s">
        <v>30</v>
      </c>
      <c r="D13" s="4" t="s">
        <v>51</v>
      </c>
      <c r="E13" s="5" t="s">
        <v>52</v>
      </c>
      <c r="F13" s="15" t="b">
        <v>1</v>
      </c>
      <c r="G13" s="5" t="s">
        <v>103</v>
      </c>
      <c r="K13" s="21"/>
    </row>
    <row r="14" spans="1:11" ht="129.94999999999999" customHeight="1">
      <c r="A14" s="48"/>
      <c r="B14" s="8">
        <v>12</v>
      </c>
      <c r="C14" s="8" t="s">
        <v>41</v>
      </c>
      <c r="D14" s="8" t="s">
        <v>53</v>
      </c>
      <c r="E14" s="37" t="s">
        <v>54</v>
      </c>
      <c r="F14" s="15" t="b">
        <v>1</v>
      </c>
      <c r="G14" s="5" t="s">
        <v>103</v>
      </c>
      <c r="K14" s="21"/>
    </row>
    <row r="15" spans="1:11" ht="26.25">
      <c r="A15" s="55" t="s">
        <v>55</v>
      </c>
      <c r="B15" s="8">
        <v>13</v>
      </c>
      <c r="C15" s="8" t="s">
        <v>41</v>
      </c>
      <c r="D15" s="35" t="s">
        <v>56</v>
      </c>
      <c r="E15" s="37" t="s">
        <v>57</v>
      </c>
      <c r="F15" s="15" t="b">
        <v>1</v>
      </c>
      <c r="G15" s="5" t="s">
        <v>103</v>
      </c>
      <c r="K15" s="21"/>
    </row>
    <row r="16" spans="1:11" ht="160" customHeight="1">
      <c r="A16" s="56"/>
      <c r="B16" s="4">
        <v>14</v>
      </c>
      <c r="C16" s="4" t="s">
        <v>30</v>
      </c>
      <c r="D16" s="4" t="s">
        <v>58</v>
      </c>
      <c r="E16" s="5" t="s">
        <v>59</v>
      </c>
      <c r="F16" s="15" t="b">
        <v>1</v>
      </c>
      <c r="G16" s="5" t="inlineStr">
        <is>
          <t>충족. 공식 CD 매핑을 유지하고 주소 MLP 4종 및 대응 CD를 적용함. 2026-09-29 최종 Validator에서 KOSMO-SME #3 CD 매핑 검사는 Passed.
KOSMO-CD #2 Failed는 매핑 오류가 아니라 공식 IDTA IRI 7건에 자체 IRI 형식을 요구한 별도 형식 검사 오판이다. 공식 IRI를 자체 식별자로 바꾸면 표준 의미 연결이 달라지므로 변경하지 않음.
전체 결과는 69 Passed·1 Failed이며, IDTA 표준 SM 6개는 검사 제외됨. 따라서 본 충족 판정을 표준 SM 전체의 자동검사 통과로 해석하지 않음.</t>
        </is>
      </c>
      <c r="K16" s="21"/>
    </row>
    <row r="17" spans="1:11" ht="53.1" customHeight="1">
      <c r="A17" s="55" t="s">
        <v>60</v>
      </c>
      <c r="B17" s="8">
        <v>15</v>
      </c>
      <c r="C17" s="8" t="s">
        <v>30</v>
      </c>
      <c r="D17" s="8" t="s">
        <v>61</v>
      </c>
      <c r="E17" s="37" t="s">
        <v>62</v>
      </c>
      <c r="F17" s="15" t="b">
        <v>1</v>
      </c>
      <c r="G17" s="31" t="s">
        <v>103</v>
      </c>
      <c r="K17" s="21"/>
    </row>
    <row r="18" spans="1:11" ht="36.950000000000003" customHeight="1">
      <c r="A18" s="56"/>
      <c r="B18" s="4">
        <v>16</v>
      </c>
      <c r="C18" s="4" t="s">
        <v>30</v>
      </c>
      <c r="D18" s="9" t="s">
        <v>63</v>
      </c>
      <c r="E18" s="5" t="s">
        <v>64</v>
      </c>
      <c r="F18" s="32" t="b">
        <v>1</v>
      </c>
      <c r="G18" s="31" t="s">
        <v>103</v>
      </c>
      <c r="K18" s="21"/>
    </row>
    <row r="19" spans="1:11" ht="150" customHeight="1">
      <c r="A19" s="46" t="s">
        <v>65</v>
      </c>
      <c r="B19" s="4">
        <v>17</v>
      </c>
      <c r="C19" s="4" t="s">
        <v>30</v>
      </c>
      <c r="D19" s="4" t="s">
        <v>18</v>
      </c>
      <c r="E19" s="5" t="s">
        <v>66</v>
      </c>
      <c r="F19" s="15" t="b">
        <v>1</v>
      </c>
      <c r="G19" s="5" t="inlineStr">
        <is>
          <t>충족(공식 IRI 유지). KOSMO-CD #2 Failed 1건은 PredictiveMaintenance 관련 4건, TimeSeries·UtcTime 2건, AddressInformation 1건 등 공식 IRI 7건에 자체 smart-factory.kr IRI 형식을 요구한 오판이다. IDTA 02048·02008·02006의 공식 의미 식별자를 자체 IRI로 변경하면 원본과의 의미 연결이 훼손되므로 유지한다. 공식 IRI 예외를 반영한 충족 판정이며 Validator 전체 통과를 뜻하지 않는다.</t>
        </is>
      </c>
      <c r="K19" s="21"/>
    </row>
    <row r="20" spans="1:11" ht="53.1" customHeight="1">
      <c r="A20" s="47"/>
      <c r="B20" s="4">
        <v>18</v>
      </c>
      <c r="C20" s="9" t="s">
        <v>30</v>
      </c>
      <c r="D20" s="4" t="s">
        <v>67</v>
      </c>
      <c r="E20" s="5" t="s">
        <v>68</v>
      </c>
      <c r="F20" s="15" t="b">
        <v>1</v>
      </c>
      <c r="G20" s="5" t="s">
        <v>103</v>
      </c>
      <c r="K20" s="21"/>
    </row>
    <row r="21" spans="1:11" ht="53.1" customHeight="1">
      <c r="A21" s="48"/>
      <c r="B21" s="4">
        <v>19</v>
      </c>
      <c r="C21" s="9" t="s">
        <v>30</v>
      </c>
      <c r="D21" s="4" t="s">
        <v>69</v>
      </c>
      <c r="E21" s="5" t="s">
        <v>70</v>
      </c>
      <c r="F21" s="15" t="b">
        <v>1</v>
      </c>
      <c r="G21" s="5" t="inlineStr">
        <is>
          <t>충족. 기존 CD dataType 및 주소 4종 공식 CD 유지. 최종 공식 IRI 7건 지적은 dataType 오류가 아닌 형식 규칙 오판.</t>
        </is>
      </c>
      <c r="K21" s="21"/>
    </row>
    <row r="22" spans="1:11" ht="51.95" customHeight="1">
      <c r="A22" s="3" t="s">
        <v>4</v>
      </c>
      <c r="B22" s="52" t="s">
        <v>71</v>
      </c>
      <c r="C22" s="53"/>
      <c r="D22" s="53"/>
      <c r="E22" s="53"/>
      <c r="F22" s="53"/>
      <c r="G22" s="54"/>
      <c r="K22" s="21"/>
    </row>
    <row r="23" spans="1:11">
      <c r="A23" s="3" t="s">
        <v>72</v>
      </c>
      <c r="B23" s="8">
        <v>19</v>
      </c>
      <c r="C23" s="49"/>
      <c r="D23" s="50"/>
      <c r="E23" s="50"/>
      <c r="F23" s="50"/>
      <c r="G23" s="51"/>
      <c r="K23" s="21"/>
    </row>
    <row r="24" spans="1:11">
      <c r="K24" s="21"/>
    </row>
    <row r="25" spans="1:11">
      <c r="K25" s="21"/>
    </row>
    <row r="26" spans="1:11">
      <c r="K26" s="22"/>
    </row>
    <row r="29" spans="1:11">
      <c r="H29" s="12"/>
    </row>
  </sheetData>
  <mergeCells count="9">
    <mergeCell ref="C23:G23"/>
    <mergeCell ref="A1:G1"/>
    <mergeCell ref="A10:A14"/>
    <mergeCell ref="B22:G22"/>
    <mergeCell ref="A4:A5"/>
    <mergeCell ref="A6:A9"/>
    <mergeCell ref="A19:A21"/>
    <mergeCell ref="A15:A16"/>
    <mergeCell ref="A17:A18"/>
  </mergeCells>
  <phoneticPr fontId="3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
  <sheetViews>
    <sheetView workbookViewId="0"/>
  </sheetViews>
  <sheetFormatPr defaultColWidth="8.875" defaultRowHeight="16.5"/>
  <cols>
    <col min="1" max="4" width="9" style="11"/>
    <col min="5" max="6" width="15" style="11" customWidth="1"/>
    <col min="7" max="7" width="17" style="11" customWidth="1"/>
    <col min="8" max="8" width="21.375" style="11" customWidth="1"/>
    <col min="9" max="9" width="28.5" customWidth="1"/>
  </cols>
  <sheetData>
    <row r="1" spans="1:10" ht="20.25">
      <c r="A1" s="58" t="s">
        <v>73</v>
      </c>
      <c r="B1" s="59"/>
      <c r="C1" s="59"/>
      <c r="D1" s="59"/>
      <c r="E1" s="59"/>
      <c r="F1" s="59"/>
      <c r="G1" s="59"/>
      <c r="H1" s="59"/>
      <c r="I1" s="59"/>
      <c r="J1" s="16"/>
    </row>
    <row r="2" spans="1:10">
      <c r="A2" s="60" t="s">
        <v>74</v>
      </c>
      <c r="B2" s="60"/>
      <c r="C2" s="60"/>
      <c r="D2" s="60"/>
      <c r="E2" s="1" t="s">
        <v>75</v>
      </c>
      <c r="F2" s="2" t="s">
        <v>76</v>
      </c>
      <c r="G2" s="1" t="s">
        <v>77</v>
      </c>
      <c r="H2" s="1" t="s">
        <v>78</v>
      </c>
      <c r="I2" s="1" t="s">
        <v>4</v>
      </c>
    </row>
    <row r="3" spans="1:10">
      <c r="A3" s="43" t="s">
        <v>79</v>
      </c>
      <c r="B3" s="43"/>
      <c r="C3" s="43"/>
      <c r="D3" s="43"/>
      <c r="E3" s="62" t="s">
        <v>80</v>
      </c>
      <c r="F3" s="63"/>
      <c r="G3" s="10">
        <f>COUNTIF('AAS Model Checklist'!F3:F21, TRUE)</f>
        <v>19</v>
      </c>
      <c r="H3" s="10">
        <f>ROUND(G3/G5, 3) * 100</f>
        <v>100</v>
      </c>
      <c r="I3" s="29" t="inlineStr">
        <is>
          <t>정량 충족 수(Validator와 별도)</t>
        </is>
      </c>
    </row>
    <row r="4" spans="1:10">
      <c r="A4" s="43"/>
      <c r="B4" s="43"/>
      <c r="C4" s="43"/>
      <c r="D4" s="43"/>
      <c r="E4" s="62" t="s">
        <v>82</v>
      </c>
      <c r="F4" s="63"/>
      <c r="G4" s="33">
        <f>'AAS Model Checklist'!B23 - G3</f>
        <v>0</v>
      </c>
      <c r="H4" s="10">
        <f>ROUND(G4/G5, 3) * 100</f>
        <v>0</v>
      </c>
      <c r="I4" s="29" t="s">
        <v>83</v>
      </c>
    </row>
    <row r="5" spans="1:10">
      <c r="A5" s="43"/>
      <c r="B5" s="43"/>
      <c r="C5" s="43"/>
      <c r="D5" s="43"/>
      <c r="E5" s="13" t="s">
        <v>72</v>
      </c>
      <c r="F5" s="13" t="s">
        <v>84</v>
      </c>
      <c r="G5" s="13">
        <f>SUM(G3:G4)</f>
        <v>19</v>
      </c>
      <c r="H5" s="13">
        <f>SUM(H3:H4)</f>
        <v>100</v>
      </c>
      <c r="I5" s="30" t="s">
        <v>85</v>
      </c>
    </row>
    <row r="6" spans="1:10">
      <c r="A6" s="43" t="s">
        <v>86</v>
      </c>
      <c r="B6" s="43"/>
      <c r="C6" s="43"/>
      <c r="D6" s="43"/>
      <c r="E6" s="61" t="s">
        <v>30</v>
      </c>
      <c r="F6" s="10" t="s">
        <v>87</v>
      </c>
      <c r="G6" s="10">
        <f>COUNTIFS('AAS Model Checklist'!C3:C21, "필수", 'AAS Model Checklist'!F3:F21, TRUE)</f>
        <v>16</v>
      </c>
      <c r="H6" s="10">
        <f>ROUND(G6/G10, 3) * 100</f>
        <v>84.2</v>
      </c>
      <c r="I6" s="29" t="s">
        <v>88</v>
      </c>
    </row>
    <row r="7" spans="1:10">
      <c r="A7" s="43"/>
      <c r="B7" s="43"/>
      <c r="C7" s="43"/>
      <c r="D7" s="43"/>
      <c r="E7" s="61"/>
      <c r="F7" s="10" t="s">
        <v>89</v>
      </c>
      <c r="G7" s="10">
        <f>COUNTIFS('AAS Model Checklist'!C3:C21, "필수", 'AAS Model Checklist'!F3:F21, FALSE)</f>
        <v>0</v>
      </c>
      <c r="H7" s="10">
        <f>ROUND(G7/G10, 3) * 100</f>
        <v>0</v>
      </c>
      <c r="I7" s="29" t="s">
        <v>90</v>
      </c>
    </row>
    <row r="8" spans="1:10">
      <c r="A8" s="43"/>
      <c r="B8" s="43"/>
      <c r="C8" s="43"/>
      <c r="D8" s="43"/>
      <c r="E8" s="61" t="s">
        <v>41</v>
      </c>
      <c r="F8" s="10" t="s">
        <v>91</v>
      </c>
      <c r="G8" s="10">
        <f>COUNTIFS('AAS Model Checklist'!C3:C21, "옵션", 'AAS Model Checklist'!F3:F21, TRUE)</f>
        <v>3</v>
      </c>
      <c r="H8" s="10">
        <f>ROUND(G8/G10, 3) * 100</f>
        <v>15.8</v>
      </c>
      <c r="I8" s="29" t="s">
        <v>92</v>
      </c>
    </row>
    <row r="9" spans="1:10">
      <c r="A9" s="43"/>
      <c r="B9" s="43"/>
      <c r="C9" s="43"/>
      <c r="D9" s="43"/>
      <c r="E9" s="61"/>
      <c r="F9" s="10" t="s">
        <v>93</v>
      </c>
      <c r="G9" s="10">
        <f>COUNTIFS('AAS Model Checklist'!C3:C21, "옵션", 'AAS Model Checklist'!F3:F21, FALSE)</f>
        <v>0</v>
      </c>
      <c r="H9" s="10">
        <f>ROUND(G9/G10, 3) * 100</f>
        <v>0</v>
      </c>
      <c r="I9" s="29" t="s">
        <v>94</v>
      </c>
    </row>
    <row r="10" spans="1:10">
      <c r="A10" s="43"/>
      <c r="B10" s="43"/>
      <c r="C10" s="43"/>
      <c r="D10" s="43"/>
      <c r="E10" s="13" t="s">
        <v>72</v>
      </c>
      <c r="F10" s="14" t="s">
        <v>84</v>
      </c>
      <c r="G10" s="13">
        <f>SUM(G6:G9)</f>
        <v>19</v>
      </c>
      <c r="H10" s="13">
        <f>SUM(H6:H9)</f>
        <v>100</v>
      </c>
      <c r="I10" s="30" t="s">
        <v>85</v>
      </c>
    </row>
    <row r="12" spans="1:10">
      <c r="A12" s="57" t="s">
        <v>95</v>
      </c>
      <c r="B12" s="57"/>
      <c r="C12" s="57"/>
      <c r="D12" s="57"/>
      <c r="E12" s="57"/>
      <c r="F12" s="57"/>
      <c r="G12" s="57"/>
      <c r="H12" s="57"/>
      <c r="I12" s="57"/>
    </row>
    <row r="13" spans="1:10">
      <c r="B13" s="28"/>
    </row>
  </sheetData>
  <mergeCells count="9">
    <mergeCell ref="A12:I12"/>
    <mergeCell ref="A1:I1"/>
    <mergeCell ref="A2:D2"/>
    <mergeCell ref="E6:E7"/>
    <mergeCell ref="E8:E9"/>
    <mergeCell ref="A3:D5"/>
    <mergeCell ref="A6:D10"/>
    <mergeCell ref="E3:F3"/>
    <mergeCell ref="E4:F4"/>
  </mergeCells>
  <phoneticPr fontId="3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sheetViews>
  <sheetFormatPr defaultColWidth="8.875" defaultRowHeight="16.5"/>
  <cols>
    <col min="1" max="1" width="17.5" customWidth="1"/>
    <col min="2" max="2" width="14.375" customWidth="1"/>
    <col min="3" max="3" width="13" customWidth="1"/>
    <col min="4" max="4" width="25.5" customWidth="1"/>
    <col min="5" max="5" width="11.5" customWidth="1"/>
    <col min="6" max="6" width="24.375" customWidth="1"/>
  </cols>
  <sheetData>
    <row r="1" spans="1:6" ht="32.25" customHeight="1">
      <c r="A1" s="69" t="s">
        <v>96</v>
      </c>
      <c r="B1" s="70"/>
      <c r="C1" s="70"/>
      <c r="D1" s="70"/>
      <c r="E1" s="70"/>
      <c r="F1" s="70"/>
    </row>
    <row r="2" spans="1:6">
      <c r="A2" s="71" t="s">
        <v>97</v>
      </c>
      <c r="B2" s="66"/>
      <c r="C2" s="71" t="s">
        <v>98</v>
      </c>
      <c r="D2" s="72"/>
      <c r="E2" s="74" t="s">
        <v>99</v>
      </c>
      <c r="F2" s="72" t="inlineStr">
        <is>
          <t>2026-09-29</t>
        </is>
      </c>
    </row>
    <row r="3" spans="1:6">
      <c r="A3" s="71"/>
      <c r="B3" s="66"/>
      <c r="C3" s="71"/>
      <c r="D3" s="73"/>
      <c r="E3" s="75"/>
      <c r="F3" s="73"/>
    </row>
    <row r="4" spans="1:6" ht="57.95" customHeight="1">
      <c r="A4" s="26" t="s">
        <v>100</v>
      </c>
      <c r="B4" s="65" t="inlineStr">
        <is>
          <t>최종 증빙: UltrafiltrationUnit_20260929125223_test_result.html (2026-09-29 재검증). Testing file은 최종 제출본 UltrafiltrationUnit_AAS_V0.0.1.aasx와 일치함. 결과 69 Passed·1 Failed. KOSMO-CD #2는 공식 IDTA IRI 7건에 자체 IRI 형식을 요구한 Validator 오판으로 판단하여 공식 IRI를 유지함. 표준 SM 6개는 검사 제외. 정량 19/19·100%는 체크리스트 기준 판정이며 Validator 전 항목 Passed를 뜻하지 않음.</t>
        </is>
      </c>
      <c r="C4" s="66"/>
      <c r="D4" s="66"/>
      <c r="E4" s="66"/>
      <c r="F4" s="66"/>
    </row>
    <row r="5" spans="1:6" ht="57.95" customHeight="1">
      <c r="A5" s="26" t="s">
        <v>101</v>
      </c>
      <c r="B5" s="65" t="inlineStr">
        <is>
          <t>공식 IRI 근거: IDTA 02048·02008·02006 배포본. UtcTime: IDTA 02008-1-1 §2.4 표10(PDF 16쪽). 주소: IDTA 02006-3-0-1 §3.2 / Contact Information 1.0.1. ECLASS 16.0: 32-11-02-03 / 0173-1#01-ACJ349#020 / Membrane filter (lab). 2026-09-27 사용자 확인에 따라 적용 분류 확정 및 94번 반영 완료로 기록함.</t>
        </is>
      </c>
      <c r="C5" s="66"/>
      <c r="D5" s="66"/>
      <c r="E5" s="66"/>
      <c r="F5" s="66"/>
    </row>
    <row r="6" spans="1:6" ht="108" customHeight="1">
      <c r="A6" s="26" t="s">
        <v>4</v>
      </c>
      <c r="B6" s="67" t="inlineStr">
        <is>
          <t>오판 원인: 공식 admin-shell.io 식별자에 https://www.smart-factory.kr/ids/cd/{idShort}/{version}/{revision} 형식을 일괄 요구함. 대상: PredictiveMaintenance의 ConditionName·ListPreAlerts·RemainingUsefulLifetime·SubmodelTemplate(4건), TimeSeries·UtcTime(2건), Nameplate AddressInformation(1건). 공식 의미 식별자를 자체 IRI로 변경하면 IDTA 원본과의 의미 연결이 훼손되므로 7건 유지. ECLASS 코드·IRDI·명칭 근거: eclass.eu → Search content → BASIC 16.0 → 32110203(2026-09-23 확인). 적용 분류 확정은 2026-09-27 사용자 확인에 근거함.</t>
        </is>
      </c>
      <c r="C6" s="68"/>
      <c r="D6" s="68"/>
      <c r="E6" s="68"/>
      <c r="F6" s="68"/>
    </row>
    <row r="16" spans="1:6">
      <c r="A16" s="64"/>
      <c r="B16" s="64"/>
      <c r="C16" s="64"/>
      <c r="D16" s="64"/>
      <c r="E16" s="64"/>
      <c r="F16" s="64"/>
    </row>
  </sheetData>
  <mergeCells count="11">
    <mergeCell ref="A16:F16"/>
    <mergeCell ref="B5:F5"/>
    <mergeCell ref="B4:F4"/>
    <mergeCell ref="B6:F6"/>
    <mergeCell ref="A1:F1"/>
    <mergeCell ref="A2:A3"/>
    <mergeCell ref="B2:B3"/>
    <mergeCell ref="C2:C3"/>
    <mergeCell ref="D2:D3"/>
    <mergeCell ref="E2:E3"/>
    <mergeCell ref="F2:F3"/>
  </mergeCells>
  <phoneticPr fontId="3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AAS Model Checklist Information</vt:lpstr>
      <vt:lpstr>AAS Model Checklist</vt:lpstr>
      <vt:lpstr>AAS Model Checklist Result</vt:lpstr>
      <vt:lpstr>Additional Considerations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김현진</cp:lastModifiedBy>
  <dcterms:modified xsi:type="dcterms:W3CDTF">2026-09-15T05:27:00Z</dcterms:modified>
</cp:coreProperties>
</file>