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8a02cd6aae4e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AS Model Checklist Information" sheetId="1" r:id="R49b080d481434428"/>
    <x:sheet xmlns:r="http://schemas.openxmlformats.org/officeDocument/2006/relationships" name="AAS Model Checklist" sheetId="2" r:id="Rba2881e0a72147db"/>
    <x:sheet xmlns:r="http://schemas.openxmlformats.org/officeDocument/2006/relationships" name="AAS Model Checklist Result" sheetId="3" r:id="R4dc4f2205d704881"/>
    <x:sheet xmlns:r="http://schemas.openxmlformats.org/officeDocument/2006/relationships" name="Additional Considerations" sheetId="4" r:id="R513b1d77e5ff477e"/>
  </x:sheets>
</x:workbook>
</file>

<file path=xl/metadata1.xml><?xml version="1.0" encoding="utf-8"?>
<x:metadata xmlns:x="http://schemas.openxmlformats.org/spreadsheetml/2006/main">
  <x:metadataTypes count="1">
    <x:metadataType name="XLRICHVALUE" minSupportedVersion="120000" copy="1" pasteAll="1" pasteValues="1" merge="1" splitFirst="1" rowColShift="1" clearFormats="1" clearComments="1" assign="1" coerce="1"/>
  </x:metadataTypes>
  <x:futureMetadata name="XLRICHVALUE" count="2">
    <x:bk>
      <x:extLst>
        <x:ext uri="{3e2802c4-a4d2-4d8b-9148-e3be6c30e623}">
          <xlrd:rvb xmlns:xlrd="http://schemas.microsoft.com/office/spreadsheetml/2017/richdata" i="0"/>
        </x:ext>
      </x:extLst>
    </x:bk>
    <x:bk>
      <x:extLst>
        <x:ext uri="{3e2802c4-a4d2-4d8b-9148-e3be6c30e623}">
          <xlrd:rvb xmlns:xlrd="http://schemas.microsoft.com/office/spreadsheetml/2017/richdata" i="1"/>
        </x:ext>
      </x:extLst>
    </x:bk>
  </x:futureMetadata>
  <x:valueMetadata count="2">
    <x:bk>
      <x:rc t="1" v="0"/>
    </x:bk>
    <x:bk>
      <x:rc t="1" v="1"/>
    </x:bk>
  </x:valueMetadata>
</x:metadata>
</file>

<file path=xl/sharedStrings.xml><?xml version="1.0" encoding="utf-8"?>
<x:sst xmlns:x="http://schemas.openxmlformats.org/spreadsheetml/2006/main">
  <x:si>
    <x:t xml:space="preserve">AAS Model Checklist Information</x:t>
  </x:si>
  <x:si>
    <x:t xml:space="preserve">분류(대상)</x:t>
  </x:si>
  <x:si>
    <x:t xml:space="preserve">정보</x:t>
  </x:si>
  <x:si>
    <x:t xml:space="preserve">설명</x:t>
  </x:si>
  <x:si>
    <x:t xml:space="preserve">비고</x:t>
  </x:si>
  <x:si>
    <x:t xml:space="preserve">기본정보</x:t>
  </x:si>
  <x:si>
    <x:t xml:space="preserve">* 본 체크리스트는 2026년 중소기업벤처부 과제공고 기준을 대상으로 제작하였습니다.</x:t>
  </x:si>
  <x:si>
    <x:t xml:space="preserve">Id 버전</x:t>
  </x:si>
  <x:si>
    <x:t xml:space="preserve">AAS 모델링시 참조한 표준 및 근거자료에 대한 버전을 확인한다.
예시) CDD 버전, eCl@ss 버전, ETIM 버전 등</x:t>
  </x:si>
  <x:si>
    <x:t xml:space="preserve">IRDI 관련 내용</x:t>
  </x:si>
  <x:si>
    <x: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x:t>
  </x:si>
  <x:si>
    <x:t xml:space="preserve">IRI 양식</x:t>
  </x:si>
  <x:si>
    <x:r>
      <x:t xml:space="preserve">
구조 : 
- Submodel: </x:t>
    </x:r>
    <x:r>
      <x:rPr>
        <x:u val="single"/>
        <x:sz val="10"/>
        <x:color theme="1"/>
        <x:rFont val="맑은 고딕"/>
        <x:family val="3"/>
      </x:rPr>
      <x:t xml:space="preserve">KOSMO 홈페이지주소/ids/sm/AAS명/Submodel명/version
</x:t>
    </x:r>
    <x:r>
      <x:rPr>
        <x:sz val="10"/>
        <x:color theme="1"/>
        <x:rFont val="맑은 고딕"/>
        <x:family val="3"/>
        <x:scheme val="minor"/>
      </x:rPr>
      <x:t xml:space="preserve">예시) https://www.smart-factory.kr/ids/sm/ACB/TechnicalData/1/0
- Submodel 외 항목: </x:t>
    </x:r>
    <x:r>
      <x:rPr>
        <x:u val="single"/>
        <x:sz val="10"/>
        <x:color theme="1"/>
        <x:rFont val="맑은 고딕"/>
        <x:family val="3"/>
        <x:scheme val="minor"/>
      </x:rPr>
      <x:t xml:space="preserve">KOSMO 홈페이지주소/ids/카테고리/변수명/version
</x:t>
    </x:r>
    <x:r>
      <x:rPr>
        <x:sz val="10"/>
        <x:color theme="1"/>
        <x:rFont val="맑은 고딕"/>
        <x:family val="3"/>
        <x:scheme val="minor"/>
      </x:rPr>
      <x:t xml:space="preserve">예시) https://www.smart-factory.kr/ids/cd/TypeOfActuator/1/0
       https://www.smart-factory.kr/ids/aas/ACB/1/0
</x:t>
    </x:r>
    <x:r>
      <x:rPr>
        <x:sz val="10"/>
        <x:color theme="1"/>
        <x:rFont val="맑은 고딕"/>
        <x:family val="3"/>
      </x:rPr>
      <x:t xml:space="preserve">* IDTA 표준 서브모델 템플릿을 사용한 경우에는 IRI를 변경하지 않고, 그대로 사용해야 한다. 단, 서브모델의 Id는 IDTA에서 정의한 IRI가 있더라도 중기부에서 정의한 구조를 사용해야 한다.
</x:t>
    </x:r>
    <x:r>
      <x:rPr>
        <x:b/>
        <x:sz val="10"/>
        <x:color rgb="FFFF0000"/>
        <x:rFont val="맑은 고딕"/>
        <x:family val="2"/>
      </x:rPr>
      <x:t xml:space="preserve">* AAS와 Submodel에 한하여 administration에 버전 정보를 입력하고 ID 뒷부분 '/version' 과 일치 시킬것</x:t>
    </x:r>
    <x:r>
      <x:rPr>
        <x:sz val="10"/>
        <x:color theme="1"/>
        <x:rFont val="맑은 고딕"/>
        <x:family val="3"/>
      </x:rPr>
      <x:t xml:space="preserve">
</x:t>
    </x:r>
    <x:r>
      <x:rPr>
        <x:sz val="10"/>
        <x:color theme="1"/>
        <x:rFont val="맑은 고딕"/>
        <x:family val="3"/>
        <x:scheme val="minor"/>
      </x:rPr>
      <x:t xml:space="preserve">
* 용어설명
sm: Submodel
cd : ConceptDescription
aas : AAS
        </x:t>
    </x:r>
  </x:si>
  <x:si>
    <x:t xml:space="preserve">장비특화 Submodel 구성</x:t>
  </x:si>
  <x:si>
    <x:r>
      <x:rPr>
        <x:b/>
        <x:sz val="10"/>
        <x:color theme="1"/>
        <x:rFont val="맑은 고딕"/>
        <x:family val="3"/>
        <x:scheme val="minor"/>
      </x:rPr>
      <x: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x:t>
    </x:r>
    <x:r>
      <x:rPr>
        <x:b/>
        <x:sz val="10"/>
        <x:color rgb="FFFF0000"/>
        <x:rFont val="맑은 고딕"/>
        <x:family val="3"/>
      </x:rPr>
      <x:t xml:space="preserve">* 각 계층과 컬렉션은 명확한 분류 목적을 가져야 하며, 별도의 모델링 근거 없이 단순히 하위 요소만을 포함하는 중간 SMC는 계층 세분화 요건을 충족하지 않은 것으로 판단함.</x:t>
    </x:r>
    <x:r>
      <x:rPr>
        <x:b/>
        <x:sz val="10"/>
        <x:color rgb="FF0070C0"/>
        <x:rFont val="맑은 고딕"/>
        <x:family val="2"/>
        <x:scheme val="minor"/>
      </x:rPr>
      <x:t xml:space="preserve">
</x:t>
    </x:r>
  </x:si>
  <x:si>
    <x:t xml:space="preserve">체크리스트
참조/공통체크사항</x:t>
  </x:si>
  <x:si>
    <x:t xml:space="preserve">idShort 설정여부</x:t>
  </x:si>
  <x:si>
    <x:r>
      <x:t xml:space="preserve">idShort가 설정되어 있는지 확인한다.
* Naming rule/Convention (권고사항)
① 공백, 특수문</x:t>
    </x:r>
    <x:r>
      <x:rPr>
        <x:sz val="10"/>
        <x:color theme="1"/>
        <x:rFont val="맑은 고딕"/>
        <x:family val="3"/>
        <x:scheme val="minor"/>
      </x:rPr>
      <x:t xml:space="preserve">자(‘_’, underbar, </x:t>
    </x:r>
    <x:r>
      <x:rPr>
        <x:sz val="10"/>
        <x:color rgb="FFFF0000"/>
        <x:rFont val="맑은 고딕"/>
        <x:family val="3"/>
      </x:rPr>
      <x:t xml:space="preserve">‘-‘, hyphen </x:t>
    </x:r>
    <x:r>
      <x:rPr>
        <x:sz val="10"/>
        <x:color theme="1"/>
        <x:rFont val="맑은 고딕"/>
        <x:family val="3"/>
        <x:scheme val="minor"/>
      </x:rPr>
      <x:t xml:space="preserve">제외)를</x:t>
    </x:r>
    <x:r>
      <x:rPr>
        <x:sz val="10"/>
        <x:color rgb="FF000000"/>
        <x:rFont val="맑은 고딕"/>
        <x:family val="3"/>
        <x:scheme val="minor"/>
      </x:rPr>
      <x:t xml:space="preserve"> 포함하지 않음
② 일관된 표기법 사용 / 예) 모든 단어를 띄어쓰기 없이 대문자로 시작
예시) "Rated voltage" -&gt; "RatedVoltage" 또는 "Rated_Voltage" 등등</x:t>
    </x:r>
  </x:si>
  <x:si>
    <x:t xml:space="preserve">Id</x:t>
  </x:si>
  <x:si>
    <x:t xml:space="preserve">각 항목의 Id 양식을 확인하고, IRDI 형식인지 IRI 형식인지 구분한다.
IRDI인 경우, 해당 항목이 CDD/Ecl@ss에 존재하여야 한다.
IRI인 경우, 정해진 양식을 준수하고 있는지 확인한다.</x:t>
  </x:si>
  <x:si>
    <x:t xml:space="preserve">description 또는 definition 여부</x:t>
  </x:si>
  <x:si>
    <x:t xml:space="preserve"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x:t>
  </x:si>
  <x:si>
    <x:t xml:space="preserve">기타</x:t>
  </x:si>
  <x:si>
    <x:r>
      <x: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x:t>
    </x:r>
    <x:r>
      <x:rPr>
        <x:sz val="10"/>
        <x:color theme="1"/>
        <x:rFont val="맑은 고딕"/>
        <x:family val="3"/>
      </x:rPr>
      <x:t xml:space="preserve">③ Property의 완성도 및 충실도에 대한 정성적 평가를 진행한다. 즉, 본 체크리스트를 통해 정량적으로 평가하지는 않지만, 이후 전문가들에 의해 Property 개수, Property 의미 등이 정성적으로 평가될 예정이다.</x:t>
    </x:r>
    <x:r>
      <x:rPr>
        <x:sz val="10"/>
        <x:color theme="1"/>
        <x:rFont val="맑은 고딕"/>
        <x:family val="3"/>
        <x:scheme val="minor"/>
      </x:rPr>
      <x:t xml:space="preserve">
</x:t>
    </x:r>
    <x:r>
      <x:rPr>
        <x:b/>
        <x:sz val="10"/>
        <x:color theme="1"/>
        <x:rFont val="맑은 고딕"/>
        <x:family val="3"/>
      </x:rPr>
      <x:t xml:space="preserve"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x:t>
    </x:r>
    <x:r>
      <x:rPr>
        <x:sz val="10"/>
        <x:color theme="1"/>
        <x:rFont val="맑은 고딕"/>
        <x:family val="3"/>
      </x:rPr>
      <x:t xml:space="preserve">
</x:t>
    </x:r>
    <x:r>
      <x:rPr>
        <x:sz val="10"/>
        <x:color theme="1"/>
        <x:rFont val="맑은 고딕"/>
        <x:family val="2"/>
      </x:rPr>
      <x:t xml:space="preserve">⑤ 모</x:t>
    </x:r>
    <x:r>
      <x:rPr>
        <x:sz val="10"/>
        <x:color theme="1"/>
        <x:rFont val="맑은 고딕"/>
        <x:family val="3"/>
      </x:rPr>
      <x:t xml:space="preserve">델 제출 시에는 "「AAS 제조데이터 표준 참조모델 사전 검증 보고서」 작성 요령"에 따라 사전 검증보고서를 제출하여야 한다.</x:t>
    </x:r>
  </x:si>
  <x:si>
    <x:t xml:space="preserve">AAS Model 정량적 검토 Checklist</x:t>
  </x:si>
  <x:si>
    <x:t xml:space="preserve">번호</x:t>
  </x:si>
  <x:si>
    <x:t xml:space="preserve">중요도</x:t>
  </x:si>
  <x:si>
    <x:t xml:space="preserve">체크사항</x:t>
  </x:si>
  <x:si>
    <x:t xml:space="preserve">체크</x:t>
  </x:si>
  <x:si>
    <x:t xml:space="preserve">비고 (검토의견)</x:t>
  </x:si>
  <x:si>
    <x:t xml:space="preserve">기본사항</x:t>
  </x:si>
  <x:si>
    <x:t xml:space="preserve">필수</x:t>
  </x:si>
  <x:si>
    <x:t xml:space="preserve">Thumnail</x:t>
  </x:si>
  <x:si>
    <x:t xml:space="preserve">AASX 파일에 Thumbnail 이미지가 포함되어 있으며, AssetInformation의 defaultThumbnail에 동일한 경로가 설정되어 있는지 확인한다.</x:t>
  </x:si>
  <x:si>
    <x:t xml:space="preserve">공통</x:t>
  </x:si>
  <x:si>
    <x:t xml:space="preserve">idShort가 설정되어 있는지 확인한다.</x:t>
  </x:si>
  <x:si>
    <x:t xml:space="preserve">idShort 명명규칙</x:t>
  </x:si>
  <x:si>
    <x:r>
      <x:t xml:space="preserve">idShort가 정의된 양식을 준수하고 있는지 확인한다.
※ 예외사항</x:t>
    </x:r>
    <x:r>
      <x:rPr>
        <x:b/>
        <x:sz val="10"/>
        <x:color theme="1"/>
        <x:rFont val="맑은 고딕"/>
        <x:family val="3"/>
        <x:scheme val="minor"/>
      </x:rPr>
      <x:t xml:space="preserve">
</x:t>
    </x:r>
    <x:r>
      <x:rPr>
        <x:b/>
        <x:sz val="10"/>
        <x:color rgb="FFFF0000"/>
        <x:rFont val="맑은 고딕"/>
        <x:family val="3"/>
      </x:rPr>
      <x:t xml:space="preserve">Submodel Element List의 하위에 속하는 Submodel Element는 idShort를 작성하지 않아도 되며, 작성하는 경우 명명규칙을 준수하여야 함</x:t>
    </x:r>
  </x:si>
  <x:si>
    <x:t xml:space="preserve">AAS</x:t>
  </x:si>
  <x:si>
    <x:r>
      <x:t xml:space="preserve">각 항목의 Id 양식을 확인하고, IRDI 형식인지 IRI 형식인지 구분한다.
IRI인 경우, 정해진 양식을 준수하고 있는지 확인한다.
</x:t>
    </x:r>
    <x:r>
      <x:rPr>
        <x:b/>
        <x:sz val="10"/>
        <x:color rgb="FFFF0000"/>
        <x:rFont val="맑은 고딕"/>
        <x:family val="3"/>
      </x:rPr>
      <x:t xml:space="preserve">* administration에 버전 정보를 입력하고 ID 뒷부분 '/version' 과 일치 시킬것</x:t>
    </x:r>
  </x:si>
  <x:si>
    <x:t xml:space="preserve">Submodel 구성</x:t>
  </x:si>
  <x:si>
    <x:r>
      <x:t xml:space="preserve">AAS 모델링에서 필수적인 성격을 지닌 아래의 4가지 Submodel이 포함되어 있으며</x:t>
    </x:r>
    <x:r>
      <x:rPr>
        <x:b/>
        <x:sz val="10"/>
        <x:color theme="1"/>
        <x:rFont val="맑은 고딕"/>
        <x:family val="3"/>
        <x:scheme val="minor"/>
      </x:rPr>
      <x:t xml:space="preserve"> 총 6종 이상 8종 이하의 Submodel로 구성되어 있는지 확인한다.</x:t>
    </x:r>
    <x:r>
      <x:rPr>
        <x:sz val="10"/>
        <x:color theme="1"/>
        <x:rFont val="맑은 고딕"/>
        <x:family val="3"/>
        <x:scheme val="minor"/>
      </x:rPr>
      <x:t xml:space="preserve">
① </x:t>
    </x:r>
    <x:r>
      <x:rPr>
        <x:b/>
        <x:sz val="10"/>
        <x:color theme="1"/>
        <x:rFont val="맑은 고딕"/>
        <x:family val="3"/>
        <x:scheme val="minor"/>
      </x:rPr>
      <x:t xml:space="preserve">Digital Nameplate</x:t>
    </x:r>
    <x:r>
      <x:rPr>
        <x:sz val="10"/>
        <x:color theme="1"/>
        <x:rFont val="맑은 고딕"/>
        <x:family val="3"/>
        <x:scheme val="minor"/>
      </x:rPr>
      <x:t xml:space="preserve">, ② </x:t>
    </x:r>
    <x:r>
      <x:rPr>
        <x:b/>
        <x:sz val="10"/>
        <x:color theme="1"/>
        <x:rFont val="맑은 고딕"/>
        <x:family val="3"/>
      </x:rPr>
      <x:t xml:space="preserve">Handover Documentation,</x:t>
    </x:r>
    <x:r>
      <x:rPr>
        <x:sz val="10"/>
        <x:color theme="1"/>
        <x:rFont val="맑은 고딕"/>
        <x:family val="3"/>
        <x:scheme val="minor"/>
      </x:rPr>
      <x:t xml:space="preserve">
③ Technical Data, ④ </x:t>
    </x:r>
    <x:r>
      <x:rPr>
        <x:sz val="10"/>
        <x:color theme="1"/>
        <x:rFont val="맑은 고딕"/>
        <x:family val="3"/>
      </x:rPr>
      <x:t xml:space="preserve">Operational Data</x:t>
    </x:r>
  </x:si>
  <x:si>
    <x:t xml:space="preserve">옵션</x:t>
  </x:si>
  <x:si>
    <x:t xml:space="preserve">globalAssetId 여부</x:t>
  </x:si>
  <x:si>
    <x:t xml:space="preserve">globalAssetId가 설정되어 있는지 확인한다.</x:t>
  </x:si>
  <x:si>
    <x:t xml:space="preserve">Type종류</x:t>
  </x:si>
  <x:si>
    <x:t xml:space="preserve">'kind'가 'Type'으로 지정되어 있는지 확인한다.</x:t>
  </x:si>
  <x:si>
    <x:t xml:space="preserve">Submodel</x:t>
  </x:si>
  <x:si>
    <x:t xml:space="preserve">최신 Version 여부</x:t>
  </x:si>
  <x:si>
    <x:t xml:space="preserve">IDTA 서브모델 템플릿을 활용하는 경우, 최신 버전의 템플릿을 사용하고 있는지 확인한다.</x:t>
  </x:si>
  <x:si>
    <x:t xml:space="preserve">Semantic ID</x:t>
  </x:si>
  <x:si>
    <x:r>
      <x:t xml:space="preserve">Semantic ID가 작성되어 있는지 확인한다. 
</x:t>
    </x:r>
    <x:r>
      <x:rPr>
        <x:sz val="10"/>
        <x:color theme="1"/>
        <x:rFont val="맑은 고딕"/>
        <x:family val="3"/>
      </x:rPr>
      <x:t xml:space="preserve">표준 서브모델이 아닌 경우, 적절한 형식의 IRI 식별자인지 확인한다.</x:t>
    </x:r>
  </x:si>
  <x:si>
    <x:t xml:space="preserve">kind</x:t>
  </x:si>
  <x:si>
    <x:t xml:space="preserve">'kind'가 'Template'으로 지정되어 있는지 확인한다</x:t>
  </x:si>
  <x:si>
    <x:t xml:space="preserve">계층 세분화</x:t>
  </x:si>
  <x:si>
    <x:r>
      <x: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x:t>
    </x:r>
    <x:r>
      <x:rPr>
        <x:b/>
        <x:sz val="10"/>
        <x:color rgb="FFFF0000"/>
        <x:rFont val="맑은 고딕"/>
        <x:family val="3"/>
      </x:rPr>
      <x:t xml:space="preserve">* 각 계층과 컬렉션은 명확한 분류 목적을 가져야 하며, 별도의 모델링 근거 없이 단순히 하위 요소만을 포함하는 중간 SMC는 계층 세분화 요건을 충족하지 않은 것으로 판단함.</x:t>
    </x:r>
  </x:si>
  <x:si>
    <x:t xml:space="preserve">SME
(Submodel Element) </x:t>
  </x:si>
  <x:si>
    <x:t xml:space="preserve">특수 SME 배제 여부</x:t>
  </x:si>
  <x:si>
    <x:r>
      <x:t xml:space="preserve">AAS 참조모델 개발 시 사용을 지양하는 Operation, BasicEventElement, </x:t>
    </x:r>
    <x:r>
      <x:rPr>
        <x:b/>
        <x:sz val="10"/>
        <x:color rgb="FFFF0000"/>
        <x:rFont val="맑은 고딕"/>
        <x:family val="3"/>
      </x:rPr>
      <x:t xml:space="preserve">Capability </x:t>
    </x:r>
    <x:r>
      <x:rPr>
        <x:b/>
        <x:sz val="10"/>
        <x:color theme="1"/>
        <x:rFont val="맑은 고딕"/>
        <x:family val="3"/>
        <x:scheme val="minor"/>
      </x:rPr>
      <x:t xml:space="preserve">엘리먼트가 사용되지 않았는지 확인한다.</x:t>
    </x:r>
  </x:si>
  <x:si>
    <x:t xml:space="preserve">Concept Description 매핑여부</x:t>
  </x:si>
  <x:si>
    <x:t xml:space="preserve">Submodel Elements가 Concept Description과 올바르게 매핑되어 있는지 확인한다 </x:t>
  </x:si>
  <x:si>
    <x:t xml:space="preserve">SME 중
Property</x:t>
  </x:si>
  <x:si>
    <x:t xml:space="preserve">value 값 여부</x:t>
  </x:si>
  <x:si>
    <x:r>
      <x:t xml:space="preserve">value값에 Example Data가 기입 되었는지 확인한다. 
</x:t>
    </x:r>
    <x:r>
      <x:rPr>
        <x:b/>
        <x:sz val="10"/>
        <x:color rgb="FFFF0000"/>
        <x:rFont val="맑은 고딕"/>
        <x:family val="3"/>
      </x:rPr>
      <x:t xml:space="preserve">* DigitalNameplate, HandoverDocumentation 제외</x:t>
    </x:r>
  </x:si>
  <x:si>
    <x:t xml:space="preserve">Concept Description과 
data type 매칭여부</x:t>
  </x:si>
  <x:si>
    <x:t xml:space="preserve">valueType이 설정되어야 하며, 
연결된 Concept Description의 dataType과 매칭되는 데이터 타입으로 설정되어야 한다</x:t>
  </x:si>
  <x:si>
    <x:t xml:space="preserve">ConceptDescription</x:t>
  </x:si>
  <x:si>
    <x:t xml:space="preserve">각 항목의 Id 양식을 확인하고, IRDI 형식인지 IRI 형식인지 구분한다.
* IRDI인 경우, 해당 항목이 CDD/Ecl@ss에 존재하여야 한다.
* IRI인 경우, 정해진 양식을 준수하고 있는지 확인한다.</x:t>
  </x:si>
  <x:si>
    <x:t xml:space="preserve">definition 여부</x:t>
  </x:si>
  <x:si>
    <x:t xml:space="preserve">해당 항목에 대한 definition이 작성되어 있는지 확인한다.
* description이 작성되어 있는 경우도 포함</x:t>
  </x:si>
  <x:si>
    <x:t xml:space="preserve">dataType 설정여부</x:t>
  </x:si>
  <x:si>
    <x:t xml:space="preserve">Concept Description의 dataType이 설정되어 있는지 확인한다
* eCl@ss/CDD에서 dataType이 정의되어 있지 않은 경우는 제외</x:t>
  </x:si>
  <x:si>
    <x:t xml:space="preserve"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x:t>
  </x:si>
  <x:si>
    <x:t xml:space="preserve">합계</x:t>
  </x:si>
  <x:si>
    <x:t xml:space="preserve">AAS Model Checklist Result</x:t>
  </x:si>
  <x:si>
    <x:t xml:space="preserve">분류</x:t>
  </x:si>
  <x:si>
    <x:t xml:space="preserve">기준항목</x:t>
  </x:si>
  <x:si>
    <x:t xml:space="preserve">세부항목</x:t>
  </x:si>
  <x:si>
    <x:t xml:space="preserve">개수</x:t>
  </x:si>
  <x:si>
    <x:t xml:space="preserve">%</x:t>
  </x:si>
  <x:si>
    <x:t xml:space="preserve">단순통계</x:t>
  </x:si>
  <x:si>
    <x:t xml:space="preserve">-</x:t>
  </x:si>
  <x:si>
    <x:t xml:space="preserve">총 체크사항</x:t>
  </x:si>
  <x:si>
    <x:t xml:space="preserve">'중요도'기준 통계</x:t>
  </x:si>
  <x:si>
    <x:r>
      <x:t xml:space="preserve">"필수" 中 </x:t>
    </x:r>
    <x:r>
      <x:rPr>
        <x:sz val="10"/>
        <x:color theme="1"/>
        <x:rFont val="Wingdings"/>
        <x:family val="2"/>
      </x:rPr>
      <x:t xml:space="preserve"></x:t>
    </x:r>
  </x:si>
  <x:si>
    <x:t xml:space="preserve">필수 체크사항 충족 항목</x:t>
  </x:si>
  <x:si>
    <x:r>
      <x:t xml:space="preserve">"필수" 中 </x:t>
    </x:r>
    <x:r>
      <x:rPr>
        <x:sz val="10"/>
        <x:color theme="1"/>
        <x:rFont val="Wingdings"/>
        <x:family val="2"/>
      </x:rPr>
      <x:t xml:space="preserve"></x:t>
    </x:r>
  </x:si>
  <x:si>
    <x:t xml:space="preserve">필수 체크사항 불충족 항목</x:t>
  </x:si>
  <x:si>
    <x:r>
      <x:t xml:space="preserve">"옵션" 中 </x:t>
    </x:r>
    <x:r>
      <x:rPr>
        <x:sz val="10"/>
        <x:color theme="1"/>
        <x:rFont val="Wingdings"/>
        <x:family val="2"/>
      </x:rPr>
      <x:t xml:space="preserve"></x:t>
    </x:r>
  </x:si>
  <x:si>
    <x:t xml:space="preserve">옵션 체크사항 충족 항목</x:t>
  </x:si>
  <x:si>
    <x:r>
      <x:t xml:space="preserve">"옵션" 中 </x:t>
    </x:r>
    <x:r>
      <x:rPr>
        <x:sz val="10"/>
        <x:color theme="1"/>
        <x:rFont val="Wingdings"/>
        <x:family val="2"/>
      </x:rPr>
      <x:t xml:space="preserve"></x:t>
    </x:r>
  </x:si>
  <x:si>
    <x:t xml:space="preserve">옵션 체크사항 불충족 항목</x:t>
  </x:si>
  <x:si>
    <x:t xml:space="preserve">추가 검토사항</x:t>
  </x:si>
  <x:si>
    <x:t xml:space="preserve">1. 검토자</x:t>
  </x:si>
  <x:si>
    <x:t xml:space="preserve">2. 소속</x:t>
  </x:si>
  <x:si>
    <x:t xml:space="preserve">3. 검토일</x:t>
  </x:si>
  <x:si>
    <x:t xml:space="preserve">4. 검토사항</x:t>
  </x:si>
  <x:si>
    <x:t xml:space="preserve">5. 기타사항</x:t>
  </x:si>
</x:sst>
</file>

<file path=xl/styles.xml><?xml version="1.0" encoding="utf-8"?>
<x:styleSheet xmlns:x="http://schemas.openxmlformats.org/spreadsheetml/2006/main">
  <x:numFmts count="3">
    <x:numFmt numFmtId="200" formatCode="0.0"/>
    <x:numFmt numFmtId="201" formatCode="yyyy-mm-dd"/>
    <x:numFmt numFmtId="202" formatCode="General"/>
  </x:numFmts>
  <x:fonts count="30">
    <x:font>
      <x:sz val="11"/>
      <x:color theme="1"/>
      <x:name val="맑은 고딕"/>
    </x:font>
    <x:font>
      <x:sz val="11"/>
      <x:color theme="1"/>
      <x:name val="맑은 고딕"/>
    </x:font>
    <x:font>
      <x:sz val="8"/>
      <x:name val="맑은 고딕"/>
    </x:font>
    <x:font>
      <x:b/>
      <x:sz val="10"/>
      <x:color theme="0"/>
      <x:name val="맑은 고딕"/>
    </x:font>
    <x:font>
      <x:sz val="10"/>
      <x:color theme="1"/>
      <x:name val="맑은 고딕"/>
    </x:font>
    <x:font>
      <x:b/>
      <x:sz val="10"/>
      <x:color theme="1"/>
      <x:name val="맑은 고딕"/>
    </x:font>
    <x:font>
      <x:sz val="10"/>
      <x:color rgb="FF000000"/>
      <x:name val="맑은 고딕"/>
    </x:font>
    <x:font>
      <x:sz val="10"/>
      <x:color theme="1"/>
      <x:name val="Arial Unicode MS"/>
    </x:font>
    <x:font>
      <x:sz val="10"/>
      <x:color theme="1"/>
      <x:name val="맑은 고딕"/>
    </x:font>
    <x:font>
      <x:b/>
      <x:sz val="14"/>
      <x:color theme="0"/>
      <x:name val="맑은 고딕"/>
    </x:font>
    <x:font>
      <x:sz val="10"/>
      <x:color theme="1"/>
      <x:name val="Wingdings"/>
    </x:font>
    <x:font>
      <x:sz val="10"/>
      <x:color theme="1"/>
      <x:name val="맑은 고딕"/>
    </x:font>
    <x:font>
      <x:sz val="11"/>
      <x:color rgb="FF00B050"/>
      <x:name val="맑은 고딕"/>
    </x:font>
    <x:font>
      <x:sz val="10"/>
      <x:color rgb="FF00B050"/>
      <x:name val="맑은 고딕"/>
    </x:font>
    <x:font>
      <x:sz val="11"/>
      <x:color rgb="FF00B050"/>
      <x:name val="맑은 고딕"/>
    </x:font>
    <x:font>
      <x:sz val="11"/>
      <x:name val="맑은 고딕"/>
    </x:font>
    <x:font>
      <x:b/>
      <x:sz val="11"/>
      <x:color theme="1"/>
      <x:name val="맑은 고딕"/>
    </x:font>
    <x:font>
      <x:b/>
      <x:sz val="16"/>
      <x:color theme="0"/>
      <x:name val="맑은 고딕"/>
    </x:font>
    <x:font>
      <x:sz val="10"/>
      <x:color theme="1"/>
      <x:name val="맑은 고딕"/>
    </x:font>
    <x:font>
      <x:sz val="10"/>
      <x:color theme="1"/>
      <x:name val="맑은 고딕"/>
    </x:font>
    <x:font>
      <x:sz val="10"/>
      <x:color theme="1"/>
      <x:name val="맑은 고딕"/>
    </x:font>
    <x:font>
      <x:b/>
      <x:sz val="10"/>
      <x:color theme="1"/>
      <x:name val="Arial Unicode MS"/>
    </x:font>
    <x:font>
      <x:b/>
      <x:sz val="10"/>
      <x:color rgb="FF0070C0"/>
      <x:name val="맑은 고딕"/>
    </x:font>
    <x:font>
      <x:sz val="10"/>
      <x:color theme="1"/>
      <x:name val="맑은 고딕"/>
    </x:font>
    <x:font>
      <x:b/>
      <x:sz val="10"/>
      <x:color rgb="FF0070C0"/>
      <x:name val="맑은 고딕"/>
    </x:font>
    <x:font>
      <x:b/>
      <x:sz val="10"/>
      <x:color theme="1"/>
      <x:name val="맑은 고딕"/>
    </x:font>
    <x:font>
      <x:b/>
      <x:sz val="10"/>
      <x:color theme="1"/>
      <x:name val="맑은 고딕"/>
    </x:font>
    <x:font>
      <x:b/>
      <x:sz val="10"/>
      <x:color rgb="FFFF0000"/>
      <x:name val="맑은 고딕"/>
    </x:font>
    <x:font>
      <x:b/>
      <x:sz val="10"/>
      <x:color rgb="FFFF0000"/>
      <x:name val="맑은 고딕"/>
    </x:font>
    <x:font>
      <x:sz val="10"/>
      <x:color rgb="FFFF0000"/>
      <x:name val="맑은 고딕"/>
    </x:font>
  </x:fonts>
  <x:fills count="7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0000FF"/>
      </x:patternFill>
    </x:fill>
    <x:fill>
      <x:patternFill patternType="solid">
        <x:fgColor rgb="FFC0CCFF"/>
      </x:patternFill>
    </x:fill>
    <x:fill>
      <x:patternFill patternType="solid">
        <x:fgColor theme="0" tint="-0.15"/>
      </x:patternFill>
    </x:fill>
    <x:fill>
      <x:patternFill patternType="solid">
        <x:fgColor rgb="FFFFFFCC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</x:border>
  </x:borders>
  <x:cellStyleXfs count="2">
    <x:xf numFmtId="0" fontId="0" fillId="0" borderId="0">
      <x:alignment vertical="center"/>
    </x:xf>
    <x:xf numFmtId="0" fontId="1" fillId="2" borderId="1" applyNumberFormat="0" applyFont="0" applyAlignment="0" applyProtection="0">
      <x:alignment vertical="center"/>
    </x:xf>
  </x:cellStyleXfs>
  <x:cellXfs count="157">
    <x:xf numFmtId="0" fontId="0" fillId="0" borderId="0" xfId="0">
      <x:alignment vertical="center"/>
    </x:xf>
    <x:xf numFmtId="0" fontId="5" fillId="4" borderId="2" xfId="0" applyFont="1" applyFill="1" applyBorder="1" applyAlignment="1">
      <x:alignment horizontal="center" vertical="center"/>
    </x:xf>
    <x:xf numFmtId="0" fontId="5" fillId="4" borderId="2" xfId="0" applyFont="1" applyFill="1" applyBorder="1" applyAlignment="1">
      <x:alignment horizontal="center" vertical="center" wrapText="1"/>
    </x:xf>
    <x:xf numFmtId="0" fontId="5" fillId="5" borderId="2" xfId="0" applyFont="1" applyFill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 wrapText="1"/>
    </x:xf>
    <x:xf numFmtId="0" fontId="6" fillId="0" borderId="2" xfId="0" applyFont="1" applyBorder="1" applyAlignment="1">
      <x:alignment horizontal="left" vertical="center" wrapText="1"/>
    </x:xf>
    <x:xf numFmtId="0" fontId="4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 wrapText="1"/>
    </x:xf>
    <x:xf numFmtId="0" fontId="8" fillId="0" borderId="2" xfId="0" applyFont="1" applyBorder="1" applyAlignment="1">
      <x:alignment horizontal="center" vertical="center"/>
    </x:xf>
    <x:xf numFmtId="0" fontId="8" fillId="0" borderId="0" xfId="0" applyFont="1">
      <x:alignment vertical="center"/>
    </x:xf>
    <x:xf numFmtId="0" fontId="3" fillId="0" borderId="0" xfId="0" applyFont="1">
      <x:alignment vertical="center"/>
    </x:xf>
    <x:xf numFmtId="0" fontId="8" fillId="2" borderId="2" xfId="1" applyFont="1" applyBorder="1" applyAlignment="1">
      <x:alignment horizontal="center" vertical="center"/>
    </x:xf>
    <x:xf numFmtId="0" fontId="8" fillId="2" borderId="2" xfId="1" applyFont="1" applyBorder="1" applyAlignment="1">
      <x:alignment horizontal="center" vertical="center"/>
    </x:xf>
    <x:xf numFmtId="0" fontId="8" fillId="2" borderId="2" xfId="1" applyFont="1" applyBorder="1" applyAlignment="1">
      <x:alignment horizontal="center" vertical="center" wrapText="1"/>
    </x:xf>
    <x:xf numFmtId="0" fontId="4" fillId="0" borderId="2" xfId="0" applyFont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Font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Font="1">
      <x:alignment vertical="center"/>
    </x:xf>
    <x:xf numFmtId="0" fontId="0" fillId="0" borderId="0" xfId="0" applyAlignment="1">
      <x:alignment vertical="center" wrapText="1"/>
    </x:xf>
    <x:xf numFmtId="0" fontId="11" fillId="0" borderId="0" xfId="0" applyFont="1" applyAlignment="1">
      <x:alignment vertical="center" wrapText="1"/>
    </x:xf>
    <x:xf numFmtId="0" fontId="8" fillId="0" borderId="0" xfId="0" applyFont="1" applyAlignment="1">
      <x:alignment vertical="center" wrapText="1"/>
    </x:xf>
    <x:xf numFmtId="0" fontId="8" fillId="0" borderId="0" xfId="0" applyFont="1" applyAlignment="1">
      <x:alignment vertical="center" wrapText="1"/>
    </x:xf>
    <x:xf numFmtId="0" fontId="0" fillId="0" borderId="0" xfId="0" applyAlignment="1">
      <x:alignment horizontal="center" vertical="center"/>
    </x:xf>
    <x:xf numFmtId="0" fontId="12" fillId="0" borderId="0" xfId="0" applyFont="1">
      <x:alignment vertical="center"/>
    </x:xf>
    <x:xf numFmtId="0" fontId="13" fillId="0" borderId="0" xfId="0" applyFont="1" applyAlignment="1">
      <x:alignment vertical="center" wrapText="1"/>
    </x:xf>
    <x:xf numFmtId="0" fontId="14" fillId="0" borderId="0" xfId="0" applyFont="1" applyAlignment="1">
      <x:alignment vertical="center" wrapText="1"/>
    </x:xf>
    <x:xf numFmtId="0" fontId="15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 wrapText="1"/>
    </x:xf>
    <x:xf numFmtId="0" fontId="16" fillId="4" borderId="2" xfId="0" applyFont="1" applyFill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 wrapText="1"/>
    </x:xf>
    <x:xf numFmtId="0" fontId="3" fillId="0" borderId="0" xfId="0" applyFont="1" applyAlignment="1">
      <x:alignment vertical="center" wrapText="1"/>
    </x:xf>
    <x:xf numFmtId="0" fontId="10" fillId="0" borderId="0" xfId="0" applyFont="1">
      <x:alignment vertical="center"/>
    </x:xf>
    <x:xf numFmtId="0" fontId="18" fillId="0" borderId="2" xfId="0" applyFont="1" applyBorder="1" applyAlignment="1">
      <x:alignment horizontal="center" vertical="center"/>
    </x:xf>
    <x:xf numFmtId="0" fontId="18" fillId="6" borderId="2" xfId="0" applyFont="1" applyFill="1" applyBorder="1" applyAlignment="1">
      <x:alignment horizontal="center" vertical="center"/>
    </x:xf>
    <x:xf numFmtId="0" fontId="4" fillId="0" borderId="2" xfId="0" applyFont="1" applyBorder="1">
      <x:alignment vertical="center"/>
    </x:xf>
    <x:xf numFmtId="0" fontId="6" fillId="0" borderId="2" xfId="0" applyFont="1" applyBorder="1" applyAlignment="1">
      <x:alignment horizontal="left" vertical="center"/>
    </x:xf>
    <x:xf numFmtId="0" fontId="4" fillId="0" borderId="2" xfId="0" applyFont="1" applyBorder="1" applyAlignment="1">
      <x:alignment horizontal="left" vertical="center"/>
    </x:xf>
    <x:xf numFmtId="0" fontId="18" fillId="0" borderId="2" xfId="0" applyFont="1" applyBorder="1" applyAlignment="1">
      <x:alignment vertical="center" wrapText="1"/>
    </x:xf>
    <x:xf numFmtId="0" fontId="5" fillId="0" borderId="2" xfId="0" applyFont="1" applyBorder="1" applyAlignment="1">
      <x:alignment horizontal="center" vertical="center"/>
    </x:xf>
    <x:xf numFmtId="0" fontId="4" fillId="0" borderId="2" xfId="0" applyFont="1" applyBorder="1" applyAlignment="1">
      <x:alignment vertical="center" wrapText="1"/>
    </x:xf>
    <x:xf numFmtId="0" fontId="8" fillId="0" borderId="2" xfId="0" applyFont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" fillId="0" borderId="2" xfId="0" applyFont="1" applyBorder="1" applyAlignment="1">
      <x:alignment horizontal="center" vertical="center"/>
    </x:xf>
    <x:xf numFmtId="0" fontId="11" fillId="0" borderId="2" xfId="0" applyFont="1" applyBorder="1" applyAlignment="1">
      <x:alignment vertical="center" wrapText="1"/>
    </x:xf>
    <x:xf numFmtId="0" fontId="22" fillId="0" borderId="2" xfId="0" applyFont="1" applyBorder="1" applyAlignment="1">
      <x:alignment horizontal="left" vertical="center" wrapText="1"/>
    </x:xf>
    <x:xf numFmtId="0" fontId="5" fillId="0" borderId="2" xfId="0" applyFont="1" applyBorder="1" applyAlignment="1">
      <x:alignment horizontal="center" vertical="center" wrapText="1"/>
    </x:xf>
    <x:xf numFmtId="0" fontId="11" fillId="0" borderId="2" xfId="0" applyFont="1" applyBorder="1" applyAlignment="1">
      <x:alignment horizontal="left" vertical="center" wrapText="1"/>
    </x:xf>
    <x:xf numFmtId="0" fontId="5" fillId="0" borderId="2" xfId="0" applyFont="1" applyBorder="1" applyAlignment="1">
      <x:alignment horizontal="left" vertical="center" wrapText="1"/>
    </x:xf>
    <x:xf numFmtId="0" fontId="5" fillId="0" borderId="2" xfId="0" applyFont="1" applyBorder="1" applyAlignment="1">
      <x:alignment horizontal="left" vertical="center" wrapText="1"/>
    </x:xf>
    <x:xf numFmtId="0" fontId="9" fillId="3" borderId="6" xfId="0" applyFont="1" applyFill="1" applyBorder="1" applyAlignment="1">
      <x:alignment horizontal="center" vertical="center"/>
    </x:xf>
    <x:xf numFmtId="0" fontId="9" fillId="3" borderId="7" xfId="0" applyFont="1" applyFill="1" applyBorder="1" applyAlignment="1">
      <x:alignment horizontal="center" vertical="center"/>
    </x:xf>
    <x:xf numFmtId="0" fontId="9" fillId="3" borderId="8" xfId="0" applyFont="1" applyFill="1" applyBorder="1" applyAlignment="1">
      <x:alignment horizontal="center" vertical="center"/>
    </x:xf>
    <x:xf numFmtId="0" fontId="5" fillId="5" borderId="2" xfId="0" applyFont="1" applyFill="1" applyBorder="1" applyAlignment="1">
      <x:alignment horizontal="center" vertical="center" wrapText="1"/>
    </x:xf>
    <x:xf numFmtId="0" fontId="5" fillId="5" borderId="2" xfId="0" applyFont="1" applyFill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 wrapText="1"/>
    </x:xf>
    <x:xf numFmtId="0" fontId="5" fillId="0" borderId="8" xfId="0" applyFont="1" applyBorder="1" applyAlignment="1">
      <x:alignment horizontal="center" vertical="center" wrapText="1"/>
    </x:xf>
    <x:xf numFmtId="0" fontId="5" fillId="5" borderId="3" xfId="0" applyFont="1" applyFill="1" applyBorder="1" applyAlignment="1">
      <x:alignment horizontal="center" vertical="center"/>
    </x:xf>
    <x:xf numFmtId="0" fontId="5" fillId="5" borderId="4" xfId="0" applyFont="1" applyFill="1" applyBorder="1" applyAlignment="1">
      <x:alignment horizontal="center" vertical="center"/>
    </x:xf>
    <x:xf numFmtId="0" fontId="5" fillId="5" borderId="5" xfId="0" applyFont="1" applyFill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8" xfId="0" applyFont="1" applyBorder="1" applyAlignment="1">
      <x:alignment horizontal="center" vertical="center"/>
    </x:xf>
    <x:xf numFmtId="49" fontId="4" fillId="0" borderId="6" xfId="0" applyNumberFormat="1" applyFont="1" applyBorder="1" applyAlignment="1">
      <x:alignment horizontal="left" vertical="center" wrapText="1"/>
    </x:xf>
    <x:xf numFmtId="49" fontId="4" fillId="0" borderId="7" xfId="0" applyNumberFormat="1" applyFont="1" applyBorder="1" applyAlignment="1">
      <x:alignment horizontal="left" vertical="center"/>
    </x:xf>
    <x:xf numFmtId="49" fontId="4" fillId="0" borderId="8" xfId="0" applyNumberFormat="1" applyFont="1" applyBorder="1" applyAlignment="1">
      <x:alignment horizontal="left" vertical="center"/>
    </x:xf>
    <x:xf numFmtId="0" fontId="5" fillId="5" borderId="3" xfId="0" applyFont="1" applyFill="1" applyBorder="1" applyAlignment="1">
      <x:alignment horizontal="center" vertical="center" wrapText="1"/>
    </x:xf>
    <x:xf numFmtId="0" fontId="5" fillId="5" borderId="5" xfId="0" applyFont="1" applyFill="1" applyBorder="1" applyAlignment="1">
      <x:alignment horizontal="center" vertical="center" wrapText="1"/>
    </x:xf>
    <x:xf numFmtId="0" fontId="8" fillId="0" borderId="0" xfId="0" applyFont="1" applyAlignment="1">
      <x:alignment horizontal="center" vertical="center"/>
    </x:xf>
    <x:xf numFmtId="0" fontId="9" fillId="3" borderId="9" xfId="0" applyFont="1" applyFill="1" applyBorder="1" applyAlignment="1">
      <x:alignment horizontal="center" vertical="center"/>
    </x:xf>
    <x:xf numFmtId="0" fontId="9" fillId="3" borderId="0" xfId="0" applyFont="1" applyFill="1" applyAlignment="1">
      <x:alignment horizontal="center" vertical="center"/>
    </x:xf>
    <x:xf numFmtId="0" fontId="5" fillId="4" borderId="2" xfId="0" applyFont="1" applyFill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5" fillId="5" borderId="2" xfId="0" applyFont="1" applyFill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2" xfId="0" applyFont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0" fillId="0" borderId="2" xfId="0" applyBorder="1" applyAlignment="1">
      <x:alignment horizontal="center" vertical="center" wrapText="1"/>
    </x:xf>
    <x:xf numFmtId="0" fontId="0" fillId="0" borderId="2" xfId="0" applyBorder="1" applyAlignment="1">
      <x:alignment horizontal="left" vertical="center" wrapText="1"/>
    </x:xf>
    <x:xf numFmtId="0" fontId="0" fillId="0" borderId="2" xfId="0" applyBorder="1" applyAlignment="1">
      <x:alignment horizontal="left" vertical="center"/>
    </x:xf>
    <x:xf numFmtId="0" fontId="17" fillId="3" borderId="2" xfId="0" applyFont="1" applyFill="1" applyBorder="1" applyAlignment="1">
      <x:alignment horizontal="center" vertical="center"/>
    </x:xf>
    <x:xf numFmtId="0" fontId="0" fillId="3" borderId="2" xfId="0" applyFill="1" applyBorder="1" applyAlignment="1">
      <x:alignment horizontal="center" vertical="center"/>
    </x:xf>
    <x:xf numFmtId="0" fontId="16" fillId="4" borderId="2" xfId="0" applyFont="1" applyFill="1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0" fontId="16" fillId="4" borderId="3" xfId="0" applyFont="1" applyFill="1" applyBorder="1" applyAlignment="1">
      <x:alignment horizontal="center" vertical="center"/>
    </x:xf>
    <x:xf numFmtId="0" fontId="0" fillId="4" borderId="5" xfId="0" applyFill="1" applyBorder="1" applyAlignment="1">
      <x:alignment horizontal="center" vertical="center"/>
    </x:xf>
    <x:xf numFmtId="0" fontId="27" fillId="0" borderId="2" xfId="0" applyFont="1" applyBorder="1" applyAlignment="1">
      <x:alignment horizontal="left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left" vertical="center" wrapText="1"/>
    </x:xf>
    <x:xf numFmtId="0" fontId="6" fillId="0" borderId="2" xfId="0" applyNumberFormat="1" applyFont="1" applyFill="1" applyBorder="1" applyAlignment="1">
      <x:alignment horizontal="left" vertical="center" wrapText="1"/>
    </x:xf>
    <x:xf numFmtId="200" fontId="4" fillId="0" borderId="2" xfId="0" applyNumberFormat="1" applyFont="1" applyFill="1" applyBorder="1" applyAlignment="1">
      <x:alignment horizontal="center" vertical="center"/>
    </x:xf>
    <x:xf numFmtId="200" fontId="4" fillId="2" borderId="2" xfId="0" applyNumberFormat="1" applyFont="1" applyFill="1" applyBorder="1" applyAlignment="1">
      <x:alignment horizontal="center" vertical="center"/>
    </x:xf>
    <x:xf numFmtId="201" fontId="0" fillId="0" borderId="3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left" vertical="center" wrapText="1"/>
    </x:xf>
    <x:xf numFmtId="0" fontId="8" fillId="0" borderId="2" xfId="0" applyFont="1" applyBorder="1" applyAlignment="1">
      <x:alignment horizontal="center" vertical="center" wrapText="1"/>
    </x:xf>
    <x:xf numFmtId="202" fontId="4" fillId="0" borderId="2" xfId="0" applyNumberFormat="1" applyFont="1" applyFill="1" applyBorder="1" applyAlignment="1">
      <x:alignment horizontal="center" vertical="center" wrapText="1"/>
    </x:xf>
    <x:xf numFmtId="0" fontId="10" fillId="0" borderId="2" xfId="0" applyFont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9" fillId="3" borderId="6" xfId="0" applyNumberFormat="1" applyFont="1" applyFill="1" applyBorder="1" applyAlignment="1">
      <x:alignment horizontal="center" vertical="center"/>
    </x:xf>
    <x:xf numFmtId="0" fontId="9" fillId="3" borderId="7" xfId="0" applyNumberFormat="1" applyFont="1" applyFill="1" applyBorder="1" applyAlignment="1">
      <x:alignment horizontal="center" vertical="center"/>
    </x:xf>
    <x:xf numFmtId="0" fontId="9" fillId="3" borderId="8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horizontal="center" vertical="center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22" fillId="0" borderId="2" xfId="0" applyNumberFormat="1" applyFont="1" applyFill="1" applyBorder="1" applyAlignment="1">
      <x:alignment horizontal="left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27" fillId="0" borderId="2" xfId="0" applyNumberFormat="1" applyFont="1" applyFill="1" applyBorder="1" applyAlignment="1">
      <x:alignment horizontal="left" vertical="center" wrapText="1"/>
    </x:xf>
    <x:xf numFmtId="0" fontId="5" fillId="0" borderId="2" xfId="0" applyNumberFormat="1" applyFont="1" applyFill="1" applyBorder="1" applyAlignment="1">
      <x:alignment horizontal="left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49" fontId="4" fillId="0" borderId="6" xfId="0" applyNumberFormat="1" applyFont="1" applyFill="1" applyBorder="1" applyAlignment="1">
      <x:alignment horizontal="left" vertical="center" wrapText="1"/>
    </x:xf>
    <x:xf numFmtId="49" fontId="4" fillId="0" borderId="7" xfId="0" applyNumberFormat="1" applyFont="1" applyFill="1" applyBorder="1" applyAlignment="1">
      <x:alignment horizontal="left" vertical="center"/>
    </x:xf>
    <x:xf numFmtId="49" fontId="4" fillId="0" borderId="8" xfId="0" applyNumberFormat="1" applyFont="1" applyFill="1" applyBorder="1" applyAlignment="1">
      <x:alignment horizontal="left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8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9" fillId="3" borderId="9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center"/>
    </x:xf>
    <x:xf numFmtId="0" fontId="17" fillId="3" borderId="2" xfId="0" applyNumberFormat="1" applyFont="1" applyFill="1" applyBorder="1" applyAlignment="1">
      <x:alignment horizontal="center" vertical="center"/>
    </x:xf>
    <x:xf numFmtId="0" fontId="0" fillId="3" borderId="2" xfId="0" applyNumberFormat="1" applyFont="1" applyFill="1" applyBorder="1" applyAlignment="1">
      <x:alignment horizontal="center" vertical="center"/>
    </x:xf>
    <x:xf numFmtId="0" fontId="16" fillId="4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16" fillId="4" borderId="3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5" fillId="4" borderId="3" xfId="0" applyNumberFormat="1" applyFont="1" applyFill="1" applyBorder="1" applyAlignment="1">
      <x:alignment horizontal="center" vertical="center"/>
    </x:xf>
    <x:xf numFmtId="201" fontId="4" fillId="0" borderId="3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center" wrapText="1"/>
    </x:xf>
  </x:cellXfs>
  <x:cellStyles count="2">
    <x:cellStyle name="메모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0a0b7a84ea439b" /><Relationship Type="http://schemas.openxmlformats.org/officeDocument/2006/relationships/theme" Target="/xl/theme/theme1.xml" Id="Rfdf5fe579d464117" /><Relationship Type="http://schemas.openxmlformats.org/officeDocument/2006/relationships/sheetMetadata" Target="/xl/metadata1.xml" Id="R34993e5890e440ac" /><Relationship Type="http://schemas.microsoft.com/office/2017/06/relationships/rdRichValueStructure" Target="/xl/richData/rdrichvaluestructure.xml" Id="R4deda61b30384462" /><Relationship Type="http://schemas.microsoft.com/office/2017/06/relationships/rdRichValue" Target="/xl/richData/rdrichvalue.xml" Id="R062ac5b06ab74437" /><Relationship Type="http://schemas.microsoft.com/office/2017/06/relationships/rdRichValueTypes" Target="/xl/richData/rdRichValueTypes.xml" Id="Rcf65bec52aee4256" /><Relationship Type="http://schemas.microsoft.com/office/2022/11/relationships/FeaturePropertyBag" Target="/xl/featurePropertyBag/featurePropertyBag.xml" Id="R75dc73f1b73b4049" /><Relationship Type="http://schemas.openxmlformats.org/officeDocument/2006/relationships/sharedStrings" Target="/xl/sharedStrings.xml" Id="R2c2670914d104b17" /><Relationship Type="http://schemas.openxmlformats.org/officeDocument/2006/relationships/worksheet" Target="/xl/worksheets/sheet1.xml" Id="R49b080d481434428" /><Relationship Type="http://schemas.openxmlformats.org/officeDocument/2006/relationships/worksheet" Target="/xl/worksheets/sheet2.xml" Id="Rba2881e0a72147db" /><Relationship Type="http://schemas.openxmlformats.org/officeDocument/2006/relationships/worksheet" Target="/xl/worksheets/sheet3.xml" Id="R4dc4f2205d704881" /><Relationship Type="http://schemas.openxmlformats.org/officeDocument/2006/relationships/worksheet" Target="/xl/worksheets/sheet4.xml" Id="R513b1d77e5ff47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0e6e5918869431c" /></Relationships>
</file>

<file path=xl/drawings/drawing1.xml><?xml version="1.0" encoding="utf-8"?>
<xdr:wsDr xmlns:xdr="http://schemas.openxmlformats.org/drawingml/2006/spreadsheetDrawing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e6e591886943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richData/rdRichValueTypes.xml><?xml version="1.0" encoding="utf-8"?>
<xlrd2:rvTypesInfo xmlns:xlrd2="http://schemas.microsoft.com/office/spreadsheetml/2017/richdata2">
  <xlrd2:global>
    <xlrd2:keyFlags>
      <xlrd2:key name="_Self">
        <xlrd2:flag name="ExcludeFromFile" value="1"/>
        <xlrd2:flag name="ExcludeFromCalcComparison" value="1"/>
      </xlrd2:key>
      <xlrd2:key name="_DisplayString">
        <xlrd2:flag name="ExcludeFromCalcComparison" value="1"/>
      </xlrd2:key>
      <xlrd2:key name="_Flags">
        <xlrd2:flag name="ExcludeFromCalcComparison" value="1"/>
      </xlrd2:key>
      <xlrd2:key name="_Format">
        <xlrd2:flag name="ExcludeFromCalcComparison" value="1"/>
      </xlrd2:key>
      <xlrd2:key name="_SubLabel">
        <xlrd2:flag name="ExcludeFromCalcComparison" value="1"/>
      </xlrd2:key>
      <xlrd2:key name="_Attribution">
        <xlrd2:flag name="ExcludeFromCalcComparison" value="1"/>
      </xlrd2:key>
      <xlrd2:key name="_Icon">
        <xlrd2:flag name="ExcludeFromCalcComparison" value="1"/>
      </xlrd2:key>
      <xlrd2:key name="_Display">
        <xlrd2:flag name="ExcludeFromCalcComparison" value="1"/>
      </xlrd2:key>
      <xlrd2:key name="_CanonicalPropertyNames">
        <xlrd2:flag name="ExcludeFromCalcComparison" value="1"/>
      </xlrd2:key>
      <xlrd2:key name="_ClassificationId">
        <xlrd2:flag name="ExcludeFromCalcComparison" value="1"/>
      </xlrd2:key>
    </xlrd2:keyFlags>
  </xlrd2:global>
</xlrd2:rvTypesInfo>
</file>

<file path=xl/richData/rdrichvalue.xml><?xml version="1.0" encoding="utf-8"?>
<xlrd:rvData xmlns:xlrd="http://schemas.microsoft.com/office/spreadsheetml/2017/richdata" count="2">
  <xlrd:rv s="0">
    <xlrd:v>0</xlrd:v>
    <xlrd:v>5</xlrd:v>
  </xlrd:rv>
  <xlrd:rv s="0">
    <xlrd:v>1</xlrd:v>
    <xlrd:v>5</xlrd:v>
  </xlrd:rv>
</xlrd:rvData>
</file>

<file path=xl/richData/rdrichvaluestructure.xml><?xml version="1.0" encoding="utf-8"?>
<xlrd:rvStructures xmlns:xlrd="http://schemas.microsoft.com/office/spreadsheetml/2017/richdata" count="1">
  <xlrd:s t="_localImage">
    <xlrd:k n="_rvRel:LocalImageIdentifier" t="i"/>
    <xlrd:k n="CalcOrigin" t="i"/>
  </xlrd:s>
</xlrd:rvStructur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045fd4d13644b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7"/>
  <x:cols>
    <x:col min="1" max="1" width="15.5" style="8" customWidth="1"/>
    <x:col min="2" max="2" width="26.5" style="8" customWidth="1"/>
    <x:col min="3" max="3" width="62.5" style="8" customWidth="1"/>
    <x:col min="4" max="4" width="90" style="8" hidden="0" customWidth="1"/>
    <x:col min="5" max="5" width="8.83203125" customWidth="1"/>
    <x:col min="6" max="6" width="8.83203125" style="20" customWidth="1"/>
  </x:cols>
  <x:sheetData>
    <x:row r="1" ht="20">
      <x:c r="A1" s="104" t="s">
        <x:v>0</x:v>
      </x:c>
      <x:c r="B1" s="105"/>
      <x:c r="C1" s="105"/>
      <x:c r="D1" s="106"/>
      <x:c r="E1" s="107"/>
      <x:c r="F1" s="107"/>
      <x:c r="G1" s="107"/>
    </x:row>
    <x:row r="2">
      <x:c r="A2" s="108" t="s">
        <x:v>1</x:v>
      </x:c>
      <x:c r="B2" s="108" t="s">
        <x:v>2</x:v>
      </x:c>
      <x:c r="C2" s="109" t="s">
        <x:v>3</x:v>
      </x:c>
      <x:c r="D2" s="108" t="s">
        <x:v>4</x:v>
      </x:c>
      <x:c r="E2" s="121"/>
      <x:c r="F2" s="121"/>
      <x:c r="G2" s="121"/>
    </x:row>
    <x:row r="3" ht="44.25" customHeight="1">
      <x:c r="A3" s="110" t="s">
        <x:v>5</x:v>
      </x:c>
      <x:c r="B3" s="111" t="s">
        <x:v>6</x:v>
      </x:c>
      <x:c r="C3" s="112"/>
      <x:c r="D3" s="89" t="str" vm="1">
        <x:v>검토 기준: ChemicalVaporDepositionEquipment_AAS_v0.0.1.aasx / 2026-10-27 결과 반영. SHA-256: 5731cc046c9aebfa7d85b6e072bc851cae2d13043752e005d8bbc9f3b332d8ea</x:v>
      </x:c>
      <x:c r="E3" s="121"/>
      <x:c r="F3" s="121"/>
      <x:c r="G3" s="121"/>
    </x:row>
    <x:row r="4" ht="51" customHeight="1">
      <x:c r="A4" s="113"/>
      <x:c r="B4" s="114" t="s">
        <x:v>7</x:v>
      </x:c>
      <x:c r="C4" s="92" t="s">
        <x:v>8</x:v>
      </x:c>
      <x:c r="D4" s="89"/>
      <x:c r="E4" s="121"/>
      <x:c r="F4" s="121"/>
      <x:c r="G4" s="121"/>
    </x:row>
    <x:row r="5" ht="78" customHeight="1">
      <x:c r="A5" s="113"/>
      <x:c r="B5" s="90" t="s">
        <x:v>9</x:v>
      </x:c>
      <x:c r="C5" s="92" t="s">
        <x:v>10</x:v>
      </x:c>
      <x:c r="D5" s="89"/>
      <x:c r="E5" s="121"/>
      <x:c r="F5" s="121"/>
      <x:c r="G5" s="121"/>
    </x:row>
    <x:row r="6" ht="335">
      <x:c r="A6" s="113"/>
      <x:c r="B6" s="114" t="s">
        <x:v>11</x:v>
      </x:c>
      <x:c r="C6" s="92" t="s">
        <x:v>12</x:v>
      </x:c>
      <x:c r="D6" s="90"/>
      <x:c r="E6" s="121"/>
      <x:c r="F6" s="115"/>
      <x:c r="G6" s="121"/>
    </x:row>
    <x:row r="7" ht="182.5" customHeight="1">
      <x:c r="A7" s="116"/>
      <x:c r="B7" s="117" t="s">
        <x:v>13</x:v>
      </x:c>
      <x:c r="C7" s="118" t="s">
        <x:v>14</x:v>
      </x:c>
      <x:c r="D7" s="90" t="inlineStr" vm="2">
        <x:is>
          <x:t>TechnicalData·OperationalData·ProcessParameters의 장비특화 계층 확인. 활용 가이던스는 현재 존재하며 2026-10-02 정성 가이던스 항목에서 별도 재평가함.</x:t>
        </x:is>
      </x:c>
      <x:c r="E7" s="121"/>
      <x:c r="F7" s="115"/>
      <x:c r="G7" s="121"/>
    </x:row>
    <x:row r="8" ht="112">
      <x:c r="A8" s="119" t="s">
        <x:v>15</x:v>
      </x:c>
      <x:c r="B8" s="114" t="s">
        <x:v>16</x:v>
      </x:c>
      <x:c r="C8" s="93" t="s">
        <x:v>17</x:v>
      </x:c>
      <x:c r="D8" s="90"/>
      <x:c r="E8" s="121"/>
      <x:c r="F8" s="121"/>
      <x:c r="G8" s="121"/>
    </x:row>
    <x:row r="9" ht="61.5" customHeight="1">
      <x:c r="A9" s="120"/>
      <x:c r="B9" s="114" t="s">
        <x:v>18</x:v>
      </x:c>
      <x:c r="C9" s="92" t="s">
        <x:v>19</x:v>
      </x:c>
      <x:c r="D9" s="90"/>
      <x:c r="E9" s="121"/>
      <x:c r="F9" s="121"/>
      <x:c r="G9" s="121"/>
    </x:row>
    <x:row r="10" ht="112">
      <x:c r="A10" s="120"/>
      <x:c r="B10" s="114" t="s">
        <x:v>20</x:v>
      </x:c>
      <x:c r="C10" s="92" t="s">
        <x:v>21</x:v>
      </x:c>
      <x:c r="D10" s="90"/>
      <x:c r="E10" s="121"/>
      <x:c r="F10" s="121"/>
      <x:c r="G10" s="121"/>
    </x:row>
    <x:row r="11" ht="288">
      <x:c r="A11" s="120"/>
      <x:c r="B11" s="114" t="s">
        <x:v>22</x:v>
      </x:c>
      <x:c r="C11" s="91" t="s">
        <x:v>23</x:v>
      </x:c>
      <x:c r="D11" s="90"/>
      <x:c r="E11" s="121"/>
      <x:c r="F11" s="121"/>
      <x:c r="G11" s="121"/>
    </x:row>
    <x:row r="12">
      <x:c r="A12" s="121"/>
      <x:c r="B12" s="121"/>
      <x:c r="C12" s="121"/>
      <x:c r="D12" s="121"/>
      <x:c r="E12" s="121"/>
      <x:c r="F12" s="121"/>
      <x:c r="G12" s="121"/>
    </x:row>
    <x:row r="13">
      <x:c r="A13" s="121"/>
      <x:c r="B13" s="121"/>
      <x:c r="C13" s="121"/>
      <x:c r="D13" s="121"/>
      <x:c r="E13" s="121"/>
      <x:c r="F13" s="121"/>
      <x:c r="G13" s="121"/>
    </x:row>
    <x:row r="14">
      <x:c r="A14" s="121"/>
      <x:c r="B14" s="121"/>
      <x:c r="C14" s="121"/>
      <x:c r="D14" s="121"/>
      <x:c r="E14" s="121"/>
      <x:c r="F14" s="121"/>
      <x:c r="G14" s="121"/>
    </x:row>
    <x:row r="15">
      <x:c r="A15" s="121"/>
      <x:c r="B15" s="121"/>
      <x:c r="C15" s="121"/>
      <x:c r="D15" s="121"/>
      <x:c r="E15" s="121"/>
      <x:c r="F15" s="121"/>
      <x:c r="G15" s="121"/>
    </x:row>
    <x:row r="16">
      <x:c r="A16" s="121"/>
      <x:c r="B16" s="121"/>
      <x:c r="C16" s="121"/>
      <x:c r="D16" s="121"/>
      <x:c r="E16" s="121"/>
      <x:c r="F16" s="121"/>
      <x:c r="G16" s="121"/>
    </x:row>
    <x:row r="17">
      <x:c r="A17" s="121"/>
      <x:c r="B17" s="121"/>
      <x:c r="C17" s="121"/>
      <x:c r="D17" s="121"/>
      <x:c r="E17" s="121"/>
      <x:c r="F17" s="121"/>
      <x:c r="G17" s="121"/>
    </x:row>
    <x:row r="18">
      <x:c r="A18" s="121"/>
      <x:c r="B18" s="121"/>
      <x:c r="C18" s="121"/>
      <x:c r="D18" s="121"/>
      <x:c r="E18" s="121"/>
      <x:c r="F18" s="121"/>
      <x:c r="G18" s="121"/>
    </x:row>
    <x:row r="19">
      <x:c r="A19" s="121"/>
      <x:c r="B19" s="121"/>
      <x:c r="C19" s="121"/>
      <x:c r="D19" s="121"/>
      <x:c r="E19" s="121"/>
      <x:c r="F19" s="121"/>
      <x:c r="G19" s="121"/>
    </x:row>
    <x:row r="20">
      <x:c r="A20" s="121"/>
      <x:c r="B20" s="121"/>
      <x:c r="C20" s="121"/>
      <x:c r="D20" s="121"/>
      <x:c r="E20" s="121"/>
      <x:c r="F20" s="121"/>
      <x:c r="G20" s="121"/>
    </x:row>
    <x:row r="21">
      <x:c r="A21" s="121"/>
      <x:c r="B21" s="121"/>
      <x:c r="C21" s="121"/>
      <x:c r="D21" s="121"/>
      <x:c r="E21" s="121"/>
      <x:c r="F21" s="121"/>
      <x:c r="G21" s="121"/>
    </x:row>
    <x:row r="22">
      <x:c r="A22" s="121"/>
      <x:c r="B22" s="121"/>
      <x:c r="C22" s="121"/>
      <x:c r="D22" s="121"/>
      <x:c r="E22" s="121"/>
      <x:c r="F22" s="121"/>
      <x:c r="G22" s="121"/>
    </x:row>
    <x:row r="23">
      <x:c r="A23" s="121"/>
      <x:c r="B23" s="121"/>
      <x:c r="C23" s="121"/>
      <x:c r="D23" s="121"/>
      <x:c r="E23" s="121"/>
      <x:c r="F23" s="121"/>
      <x:c r="G23" s="121"/>
    </x:row>
    <x:row r="24">
      <x:c r="A24" s="121"/>
      <x:c r="B24" s="121"/>
      <x:c r="C24" s="121"/>
      <x:c r="D24" s="121"/>
      <x:c r="E24" s="121"/>
      <x:c r="F24" s="121"/>
      <x:c r="G24" s="121"/>
    </x:row>
  </x:sheetData>
  <x:mergeCells>
    <x:mergeCell ref="A1:D1"/>
    <x:mergeCell ref="A8:A11"/>
    <x:mergeCell ref="B3:C3"/>
    <x:mergeCell ref="A3:A7"/>
  </x:mergeCells>
  <x:pageMargins left="0.7" right="0.7" top="0.75" bottom="0.75" header="0.3" footer="0.3"/>
  <x:drawing xmlns:r="http://schemas.openxmlformats.org/officeDocument/2006/relationships" r:id="R5045fd4d13644b8d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10" defaultColWidth="8.83203125" defaultRowHeight="17"/>
  <x:cols>
    <x:col min="1" max="1" width="17.5" style="13" customWidth="1"/>
    <x:col min="2" max="2" width="4.5" style="13" customWidth="1"/>
    <x:col min="3" max="3" width="6.33203125" style="13" customWidth="1"/>
    <x:col min="4" max="4" width="26.5" style="13" customWidth="1"/>
    <x:col min="5" max="5" width="71.33203125" style="13" customWidth="1"/>
    <x:col min="6" max="6" width="13" style="13" hidden="0" customWidth="1"/>
    <x:col min="7" max="7" width="76" style="32" hidden="0" customWidth="1"/>
    <x:col min="8" max="8" width="24" customWidth="1"/>
    <x:col min="9" max="9" width="107.33203125" style="22" customWidth="1"/>
    <x:col min="10" max="10" width="13" style="24" customWidth="1"/>
    <x:col min="11" max="11" width="39.5" customWidth="1"/>
  </x:cols>
  <x:sheetData>
    <x:row r="1" ht="20">
      <x:c r="A1" s="104" t="s">
        <x:v>24</x:v>
      </x:c>
      <x:c r="B1" s="105"/>
      <x:c r="C1" s="105"/>
      <x:c r="D1" s="105"/>
      <x:c r="E1" s="105"/>
      <x:c r="F1" s="105"/>
      <x:c r="G1" s="106"/>
      <x:c r="I1" s="29"/>
      <x:c r="K1" s="24"/>
    </x:row>
    <x:row r="2">
      <x:c r="A2" s="108" t="s">
        <x:v>1</x:v>
      </x:c>
      <x:c r="B2" s="108" t="s">
        <x:v>25</x:v>
      </x:c>
      <x:c r="C2" s="108" t="s">
        <x:v>26</x:v>
      </x:c>
      <x:c r="D2" s="108" t="s">
        <x:v>27</x:v>
      </x:c>
      <x:c r="E2" s="109" t="s">
        <x:v>3</x:v>
      </x:c>
      <x:c r="F2" s="109" t="s">
        <x:v>28</x:v>
      </x:c>
      <x:c r="G2" s="109" t="s">
        <x:v>29</x:v>
      </x:c>
      <x:c r="K2" s="25"/>
    </x:row>
    <x:row r="3" ht="100" customHeight="1">
      <x:c r="A3" s="120" t="s">
        <x:v>30</x:v>
      </x:c>
      <x:c r="B3" s="114">
        <x:v>1</x:v>
      </x:c>
      <x:c r="C3" s="114" t="s">
        <x:v>31</x:v>
      </x:c>
      <x:c r="D3" s="114" t="s">
        <x:v>32</x:v>
      </x:c>
      <x:c r="E3" s="122" t="s">
        <x:v>33</x:v>
      </x:c>
      <x:c r="F3" s="100" t="str">
        <x:v>충족</x:v>
      </x:c>
      <x:c r="G3" s="92" t="str">
        <x:v>충족 — /aasx/Thumbnail.png가 패키지에 있고 defaultThumbnail 경로와 일치. 이미지 품질은 정성 #10 별도 평가.</x:v>
      </x:c>
      <x:c r="K3" s="25"/>
    </x:row>
    <x:row r="4" ht="100" customHeight="1">
      <x:c r="A4" s="110" t="s">
        <x:v>34</x:v>
      </x:c>
      <x:c r="B4" s="117">
        <x:v>2</x:v>
      </x:c>
      <x:c r="C4" s="117" t="s">
        <x:v>31</x:v>
      </x:c>
      <x:c r="D4" s="117" t="s">
        <x:v>16</x:v>
      </x:c>
      <x:c r="E4" s="123" t="s">
        <x:v>35</x:v>
      </x:c>
      <x:c r="F4" s="100" t="str">
        <x:v>충족</x:v>
      </x:c>
      <x:c r="G4" s="92" t="str">
        <x:v>충족 — SME 651개 검사. SML 직속 익명 항목을 제외한 idShort 누락 0건.</x:v>
      </x:c>
      <x:c r="K4" s="25"/>
    </x:row>
    <x:row r="5" ht="100" customHeight="1">
      <x:c r="A5" s="116"/>
      <x:c r="B5" s="117">
        <x:v>3</x:v>
      </x:c>
      <x:c r="C5" s="117" t="s">
        <x:v>31</x:v>
      </x:c>
      <x:c r="D5" s="117" t="s">
        <x:v>36</x:v>
      </x:c>
      <x:c r="E5" s="123" t="s">
        <x:v>37</x:v>
      </x:c>
      <x:c r="F5" s="100" t="str">
        <x:v>충족</x:v>
      </x:c>
      <x:c r="G5" s="92" t="str">
        <x:v>충족 — 명명된 SME에서 공백·금지문자 위반 0건.</x:v>
      </x:c>
      <x:c r="K5" s="25"/>
    </x:row>
    <x:row r="6" ht="100" customHeight="1">
      <x:c r="A6" s="110" t="s">
        <x:v>38</x:v>
      </x:c>
      <x:c r="B6" s="114">
        <x:v>4</x:v>
      </x:c>
      <x:c r="C6" s="114" t="s">
        <x:v>31</x:v>
      </x:c>
      <x:c r="D6" s="114" t="s">
        <x:v>18</x:v>
      </x:c>
      <x:c r="E6" s="92" t="s">
        <x:v>39</x:v>
      </x:c>
      <x:c r="F6" s="100" t="str">
        <x:v>충족</x:v>
      </x:c>
      <x:c r="G6" s="92" t="str">
        <x:v>충족. version=0, revision=1 및 AAS ID 끝 /0/1 유지. 2026-10-27 최종본 Validator 70 Passed·0 Failed.</x:v>
      </x:c>
      <x:c r="K6" s="25"/>
    </x:row>
    <x:row r="7" ht="100" customHeight="1">
      <x:c r="A7" s="113"/>
      <x:c r="B7" s="114">
        <x:v>5</x:v>
      </x:c>
      <x:c r="C7" s="114" t="s">
        <x:v>31</x:v>
      </x:c>
      <x:c r="D7" s="114" t="s">
        <x:v>40</x:v>
      </x:c>
      <x:c r="E7" s="92" t="s">
        <x:v>41</x:v>
      </x:c>
      <x:c r="F7" s="100" t="str">
        <x:v>충족</x:v>
      </x:c>
      <x:c r="G7" s="93" t="str">
        <x:v>충족 — Nameplate, HandoverDocumentation, TechnicalData, OperationalData, TimeSeries, ProcessParameters, PredictiveMaintenance 총 7종.</x:v>
      </x:c>
      <x:c r="K7" s="25"/>
    </x:row>
    <x:row r="8" ht="100" customHeight="1">
      <x:c r="A8" s="113"/>
      <x:c r="B8" s="114">
        <x:v>6</x:v>
      </x:c>
      <x:c r="C8" s="114" t="s">
        <x:v>42</x:v>
      </x:c>
      <x:c r="D8" s="114" t="s">
        <x:v>43</x:v>
      </x:c>
      <x:c r="E8" s="92" t="s">
        <x:v>44</x:v>
      </x:c>
      <x:c r="F8" s="100" t="str">
        <x:v>충족</x:v>
      </x:c>
      <x:c r="G8" s="93" t="str">
        <x:v>충족 — ChemicalVaporDepositionEquipment를 포함한 globalAssetId 설정.</x:v>
      </x:c>
      <x:c r="K8" s="25"/>
    </x:row>
    <x:row r="9" ht="100" customHeight="1">
      <x:c r="A9" s="116"/>
      <x:c r="B9" s="114">
        <x:v>7</x:v>
      </x:c>
      <x:c r="C9" s="114" t="s">
        <x:v>31</x:v>
      </x:c>
      <x:c r="D9" s="114" t="s">
        <x:v>45</x:v>
      </x:c>
      <x:c r="E9" s="92" t="s">
        <x:v>46</x:v>
      </x:c>
      <x:c r="F9" s="100" t="str">
        <x:v>충족</x:v>
      </x:c>
      <x:c r="G9" s="93" t="str">
        <x:v>충족 — assetInformation.assetKind=Type.</x:v>
      </x:c>
      <x:c r="K9" s="25"/>
    </x:row>
    <x:row r="10" ht="125" customHeight="1">
      <x:c r="A10" s="110" t="s">
        <x:v>47</x:v>
      </x:c>
      <x:c r="B10" s="117">
        <x:v>8</x:v>
      </x:c>
      <x:c r="C10" s="117" t="s">
        <x:v>31</x:v>
      </x:c>
      <x:c r="D10" s="117" t="s">
        <x:v>48</x:v>
      </x:c>
      <x:c r="E10" s="123" t="s">
        <x:v>49</x:v>
      </x:c>
      <x:c r="F10" s="100" t="str">
        <x:v>충족</x:v>
      </x:c>
      <x:c r="G10" s="93" t="str">
        <x:v>충족 — IDTA Published 목록과 대조: Nameplate 3.0.1, Handover 2.0, TechnicalData 2.0, TimeSeries 1.1, ProcessParameters Type 1.0, PredictiveMaintenance 1.0. 근거: Additional Considerations.</x:v>
      </x:c>
      <x:c r="K10" s="25"/>
    </x:row>
    <x:row r="11" ht="100" customHeight="1">
      <x:c r="A11" s="113"/>
      <x:c r="B11" s="114">
        <x:v>9</x:v>
      </x:c>
      <x:c r="C11" s="114" t="s">
        <x:v>31</x:v>
      </x:c>
      <x:c r="D11" s="114" t="s">
        <x:v>18</x:v>
      </x:c>
      <x:c r="E11" s="92" t="s">
        <x:v>39</x:v>
      </x:c>
      <x:c r="F11" s="100" t="str">
        <x:v>충족</x:v>
      </x:c>
      <x:c r="G11" s="93" t="str">
        <x:v>충족 — 7개 Submodel의 ID에 장비명·서브모델명 포함. ID 버전과 administration 일치.</x:v>
      </x:c>
      <x:c r="K11" s="27"/>
    </x:row>
    <x:row r="12" ht="100" customHeight="1">
      <x:c r="A12" s="113"/>
      <x:c r="B12" s="114">
        <x:v>10</x:v>
      </x:c>
      <x:c r="C12" s="114" t="s">
        <x:v>31</x:v>
      </x:c>
      <x:c r="D12" s="114" t="s">
        <x:v>50</x:v>
      </x:c>
      <x:c r="E12" s="92" t="s">
        <x:v>51</x:v>
      </x:c>
      <x:c r="F12" s="100" t="str">
        <x:v>충족</x:v>
      </x:c>
      <x:c r="G12" s="93" t="str">
        <x:v>충족 — 7개 모두 semanticId 설정. 공식 6종의 원본 식별자 유지, OperationalData는 장비 고유 IRI.</x:v>
      </x:c>
      <x:c r="I12" s="23"/>
      <x:c r="J12" s="28"/>
      <x:c r="K12" s="25"/>
    </x:row>
    <x:row r="13" ht="100" customHeight="1">
      <x:c r="A13" s="113"/>
      <x:c r="B13" s="114">
        <x:v>11</x:v>
      </x:c>
      <x:c r="C13" s="114" t="s">
        <x:v>31</x:v>
      </x:c>
      <x:c r="D13" s="114" t="s">
        <x:v>52</x:v>
      </x:c>
      <x:c r="E13" s="92" t="s">
        <x:v>53</x:v>
      </x:c>
      <x:c r="F13" s="100" t="str">
        <x:v>충족</x:v>
      </x:c>
      <x:c r="G13" s="92" t="str">
        <x:v>충족 — 7개 Submodel 모두 kind=Template.</x:v>
      </x:c>
      <x:c r="K13" s="25"/>
    </x:row>
    <x:row r="14" ht="100" customHeight="1">
      <x:c r="A14" s="116"/>
      <x:c r="B14" s="117">
        <x:v>12</x:v>
      </x:c>
      <x:c r="C14" s="117" t="s">
        <x:v>42</x:v>
      </x:c>
      <x:c r="D14" s="117" t="s">
        <x:v>54</x:v>
      </x:c>
      <x:c r="E14" s="123" t="s">
        <x:v>55</x:v>
      </x:c>
      <x:c r="F14" s="100" t="str">
        <x:v>충족</x:v>
      </x:c>
      <x:c r="G14" s="92" t="str">
        <x:v>충족 — TechnicalData는 장비 시스템/사양군, OperationalData는 장비 시스템/감시군으로 2단계 이상 분류. 레시피도 기능별 분류.</x:v>
      </x:c>
      <x:c r="K14" s="25"/>
    </x:row>
    <x:row r="15" ht="100" customHeight="1">
      <x:c r="A15" s="124" t="s">
        <x:v>56</x:v>
      </x:c>
      <x:c r="B15" s="117">
        <x:v>13</x:v>
      </x:c>
      <x:c r="C15" s="117" t="s">
        <x:v>42</x:v>
      </x:c>
      <x:c r="D15" s="89" t="s">
        <x:v>57</x:v>
      </x:c>
      <x:c r="E15" s="123" t="s">
        <x:v>58</x:v>
      </x:c>
      <x:c r="F15" s="100" t="str">
        <x:v>충족</x:v>
      </x:c>
      <x:c r="G15" s="92" t="str">
        <x:v>충족 — Operation, BasicEventElement, Capability 사용 0건.</x:v>
      </x:c>
      <x:c r="K15" s="25"/>
    </x:row>
    <x:row r="16" ht="100" customHeight="1">
      <x:c r="A16" s="125"/>
      <x:c r="B16" s="114">
        <x:v>14</x:v>
      </x:c>
      <x:c r="C16" s="114" t="s">
        <x:v>31</x:v>
      </x:c>
      <x:c r="D16" s="114" t="s">
        <x:v>59</x:v>
      </x:c>
      <x:c r="E16" s="92" t="s">
        <x:v>60</x:v>
      </x:c>
      <x:c r="F16" s="100" t="str">
        <x:v>충족</x:v>
      </x:c>
      <x:c r="G16" s="92" t="str">
        <x:v>충족(공식 원본 예외) — SME 651개에 semanticId 있음. 로컬 CD 미수록은 공식 요소 15회/9종이며 로컬 IDTA 원본에도 해당 CD 없음. 자체정의 요소의 CD 누락은 없음. 예외 목록을 근거 파일에 수록.</x:v>
      </x:c>
      <x:c r="K16" s="25"/>
    </x:row>
    <x:row r="17" ht="100" customHeight="1">
      <x:c r="A17" s="124" t="s">
        <x:v>61</x:v>
      </x:c>
      <x:c r="B17" s="117">
        <x:v>15</x:v>
      </x:c>
      <x:c r="C17" s="117" t="s">
        <x:v>31</x:v>
      </x:c>
      <x:c r="D17" s="117" t="s">
        <x:v>62</x:v>
      </x:c>
      <x:c r="E17" s="123" t="s">
        <x:v>63</x:v>
      </x:c>
      <x:c r="F17" s="100" t="str">
        <x:v>충족</x:v>
      </x:c>
      <x:c r="G17" s="92" t="str">
        <x:v>충족 — Property 403개 모두 예시값 입력. Nameplate·HandoverDocumentation 제외 항목도 공란 없음. 수치형 파싱 오류 0건.</x:v>
      </x:c>
      <x:c r="K17" s="25"/>
    </x:row>
    <x:row r="18" ht="120" customHeight="1">
      <x:c r="A18" s="125"/>
      <x:c r="B18" s="114">
        <x:v>16</x:v>
      </x:c>
      <x:c r="C18" s="114" t="s">
        <x:v>31</x:v>
      </x:c>
      <x:c r="D18" s="90" t="s">
        <x:v>64</x:v>
      </x:c>
      <x:c r="E18" s="92" t="s">
        <x:v>65</x:v>
      </x:c>
      <x:c r="F18" s="100" t="inlineStr">
        <x:is>
          <x:t>충족</x:t>
        </x:is>
      </x:c>
      <x:c r="G18" s="92" t="inlineStr">
        <x:is>
          <x:t>충족(공식 원본 예외) — DepositionTimeElapsed 1개·StepDuration 6개를 xs:double / CD REAL_MEASURE / s로 수정하고 예시값도 초 단위 숫자로 변환했다. 공식 PM의 xs:double/STRING 차이는 IDTA 원본에도 있어 그대로 유지한다.</x:t>
        </x:is>
      </x:c>
      <x:c r="K18" s="25"/>
    </x:row>
    <x:row r="19" ht="100" customHeight="1">
      <x:c r="A19" s="110" t="s">
        <x:v>66</x:v>
      </x:c>
      <x:c r="B19" s="114">
        <x:v>17</x:v>
      </x:c>
      <x:c r="C19" s="114" t="s">
        <x:v>31</x:v>
      </x:c>
      <x:c r="D19" s="114" t="s">
        <x:v>18</x:v>
      </x:c>
      <x:c r="E19" s="92" t="s">
        <x:v>67</x:v>
      </x:c>
      <x:c r="F19" s="100" t="str">
        <x:v>충족</x:v>
      </x:c>
      <x:c r="G19" s="92" t="str">
        <x:v>충족(공식 원본 예외) — 자체 CD는 smart-factory IRI, 표준 요소는 IDTA/IRDI 원본 유지. 공식 식별자를 자체 IRI로 바꾸지 않음.</x:v>
      </x:c>
      <x:c r="K19" s="25"/>
    </x:row>
    <x:row r="20" ht="100" customHeight="1">
      <x:c r="A20" s="113"/>
      <x:c r="B20" s="114">
        <x:v>18</x:v>
      </x:c>
      <x:c r="C20" s="90" t="s">
        <x:v>31</x:v>
      </x:c>
      <x:c r="D20" s="114" t="s">
        <x:v>68</x:v>
      </x:c>
      <x:c r="E20" s="92" t="s">
        <x:v>69</x:v>
      </x:c>
      <x:c r="F20" s="100" t="str">
        <x:v>충족</x:v>
      </x:c>
      <x:c r="G20" s="92" t="inlineStr">
        <x:is>
          <x:t>충족 — CD 330개에 영문 definition 또는 description 및 preferredName 있음. Handover 공식 CD 정의 2건은 원본으로 복원했으며 원본 자체의 중복 en 표기는 보존 예외로 기록함.</x:t>
        </x:is>
      </x:c>
      <x:c r="I20" s="23"/>
      <x:c r="K20" s="25"/>
    </x:row>
    <x:row r="21" ht="100" customHeight="1">
      <x:c r="A21" s="116"/>
      <x:c r="B21" s="114">
        <x:v>19</x:v>
      </x:c>
      <x:c r="C21" s="90" t="s">
        <x:v>31</x:v>
      </x:c>
      <x:c r="D21" s="114" t="s">
        <x:v>70</x:v>
      </x:c>
      <x:c r="E21" s="92" t="s">
        <x:v>71</x:v>
      </x:c>
      <x:c r="F21" s="100" t="str">
        <x:v>충족</x:v>
      </x:c>
      <x:c r="G21" s="92" t="inlineStr">
        <x:is>
          <x:t>충족(적용대상 기준) — 자체 Property의 CD 자료형 존재. 공식 TimeSeries/PlannedProcessTime 자료형 미정의 및 컬렉션 CD는 원본 기준으로 구분한다. 자체 시간 CD 2개는 REAL_MEASURE와 단위 s를 적용했다.</x:t>
        </x:is>
      </x:c>
      <x:c r="I21" s="23"/>
      <x:c r="K21" s="25"/>
    </x:row>
    <x:row r="22" ht="52" customHeight="1">
      <x:c r="A22" s="120" t="s">
        <x:v>4</x:v>
      </x:c>
      <x:c r="B22" s="126" t="s">
        <x:v>72</x:v>
      </x:c>
      <x:c r="C22" s="127"/>
      <x:c r="D22" s="127"/>
      <x:c r="E22" s="127"/>
      <x:c r="F22" s="127"/>
      <x:c r="G22" s="128"/>
      <x:c r="I22" s="23"/>
      <x:c r="K22" s="25"/>
    </x:row>
    <x:row r="23">
      <x:c r="A23" s="120" t="s">
        <x:v>73</x:v>
      </x:c>
      <x:c r="B23" s="117">
        <x:v>19</x:v>
      </x:c>
      <x:c r="C23" s="129"/>
      <x:c r="D23" s="130"/>
      <x:c r="E23" s="130"/>
      <x:c r="F23" s="130"/>
      <x:c r="G23" s="131"/>
      <x:c r="K23" s="25"/>
    </x:row>
    <x:row r="24">
      <x:c r="A24" s="121"/>
      <x:c r="B24" s="132" t="str"/>
      <x:c r="C24" s="121"/>
      <x:c r="D24" s="121"/>
      <x:c r="E24" s="121"/>
      <x:c r="F24" s="121"/>
      <x:c r="G24" s="121"/>
      <x:c r="K24" s="25"/>
    </x:row>
    <x:row r="25">
      <x:c r="K25" s="25"/>
    </x:row>
    <x:row r="26">
      <x:c r="K26" s="26"/>
    </x:row>
    <x:row r="29">
      <x:c r="H29" s="13"/>
    </x:row>
  </x:sheetData>
  <x:mergeCells>
    <x:mergeCell ref="C23:G23"/>
    <x:mergeCell ref="A1:G1"/>
    <x:mergeCell ref="A10:A14"/>
    <x:mergeCell ref="B22:G22"/>
    <x:mergeCell ref="A4:A5"/>
    <x:mergeCell ref="A6:A9"/>
    <x:mergeCell ref="A19:A21"/>
    <x:mergeCell ref="A15:A16"/>
    <x:mergeCell ref="A17:A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7"/>
  <x:cols>
    <x:col min="1" max="4" width="9" style="12" customWidth="0"/>
    <x:col min="5" max="6" width="15" style="12" customWidth="1"/>
    <x:col min="7" max="7" width="17" style="12" customWidth="1"/>
    <x:col min="8" max="8" width="21.33203125" style="12" customWidth="1"/>
    <x:col min="9" max="9" width="52" hidden="0" customWidth="1"/>
    <x:col min="5" max="5" width="16" hidden="0" customWidth="1"/>
  </x:cols>
  <x:sheetData>
    <x:row r="1" ht="20">
      <x:c r="A1" s="133" t="s">
        <x:v>74</x:v>
      </x:c>
      <x:c r="B1" s="134"/>
      <x:c r="C1" s="134"/>
      <x:c r="D1" s="134"/>
      <x:c r="E1" s="134"/>
      <x:c r="F1" s="134"/>
      <x:c r="G1" s="134"/>
      <x:c r="H1" s="134"/>
      <x:c r="I1" s="134"/>
      <x:c r="J1" s="19"/>
    </x:row>
    <x:row r="2">
      <x:c r="A2" s="108" t="s">
        <x:v>75</x:v>
      </x:c>
      <x:c r="B2" s="108"/>
      <x:c r="C2" s="108"/>
      <x:c r="D2" s="108"/>
      <x:c r="E2" s="108" t="s">
        <x:v>76</x:v>
      </x:c>
      <x:c r="F2" s="109" t="s">
        <x:v>77</x:v>
      </x:c>
      <x:c r="G2" s="108" t="s">
        <x:v>78</x:v>
      </x:c>
      <x:c r="H2" s="108" t="s">
        <x:v>79</x:v>
      </x:c>
      <x:c r="I2" s="108" t="s">
        <x:v>4</x:v>
      </x:c>
    </x:row>
    <x:row r="3">
      <x:c r="A3" s="120" t="s">
        <x:v>80</x:v>
      </x:c>
      <x:c r="B3" s="120"/>
      <x:c r="C3" s="120"/>
      <x:c r="D3" s="120"/>
      <x:c r="E3" s="114" t="str">
        <x:v>충족</x:v>
      </x:c>
      <x:c r="F3" s="135"/>
      <x:c r="G3" s="114">
        <x:f>COUNTIF('AAS Model Checklist'!F3:F21,"충족")</x:f>
        <x:v>19</x:v>
      </x:c>
      <x:c r="H3" s="94">
        <x:f>G3/$G$5*100</x:f>
        <x:v>100</x:v>
      </x:c>
      <x:c r="I3" s="114" t="str">
        <x:v>19개 항목의 수동판정 집계.</x:v>
      </x:c>
    </x:row>
    <x:row r="4">
      <x:c r="A4" s="120"/>
      <x:c r="B4" s="120"/>
      <x:c r="C4" s="120"/>
      <x:c r="D4" s="120"/>
      <x:c r="E4" s="114" t="str">
        <x:v>미충족</x:v>
      </x:c>
      <x:c r="F4" s="135"/>
      <x:c r="G4" s="117">
        <x:f>COUNTIF('AAS Model Checklist'!F3:F21,"미충족")</x:f>
        <x:v>0</x:v>
      </x:c>
      <x:c r="H4" s="94">
        <x:f>G4/$G$5*100</x:f>
        <x:v>0</x:v>
      </x:c>
      <x:c r="I4" s="114" t="str">
        <x:v>확인필요와 구분</x:v>
      </x:c>
    </x:row>
    <x:row r="5">
      <x:c r="A5" s="120"/>
      <x:c r="B5" s="120"/>
      <x:c r="C5" s="120"/>
      <x:c r="D5" s="120"/>
      <x:c r="E5" s="136" t="s">
        <x:v>73</x:v>
      </x:c>
      <x:c r="F5" s="136" t="s">
        <x:v>81</x:v>
      </x:c>
      <x:c r="G5" s="136">
        <x:f>COUNTA('AAS Model Checklist'!F3:F21)</x:f>
        <x:v>19</x:v>
      </x:c>
      <x:c r="H5" s="95">
        <x:f>G5/$G$5*100</x:f>
        <x:v>100</x:v>
      </x:c>
      <x:c r="I5" s="136" t="str">
        <x:v>자동검사 70 Passed·0 Failed 확인. 표준 SM 6종은 수동 대조.</x:v>
      </x:c>
    </x:row>
    <x:row r="6">
      <x:c r="A6" s="120" t="s">
        <x:v>83</x:v>
      </x:c>
      <x:c r="B6" s="120"/>
      <x:c r="C6" s="120"/>
      <x:c r="D6" s="120"/>
      <x:c r="E6" s="114" t="s">
        <x:v>31</x:v>
      </x:c>
      <x:c r="F6" s="114" t="s">
        <x:v>84</x:v>
      </x:c>
      <x:c r="G6" s="114">
        <x:f>COUNTIFS('AAS Model Checklist'!C3:C21,"필수",'AAS Model Checklist'!F3:F21,"충족")</x:f>
        <x:v>16</x:v>
      </x:c>
      <x:c r="H6" s="94">
        <x:f>G6/$G$5*100</x:f>
        <x:v>84.21052631578947</x:v>
      </x:c>
      <x:c r="I6" s="114" t="s">
        <x:v>85</x:v>
      </x:c>
    </x:row>
    <x:row r="7">
      <x:c r="A7" s="120"/>
      <x:c r="B7" s="120"/>
      <x:c r="C7" s="120"/>
      <x:c r="D7" s="120"/>
      <x:c r="E7" s="114"/>
      <x:c r="F7" s="114" t="s">
        <x:v>86</x:v>
      </x:c>
      <x:c r="G7" s="114">
        <x:f>COUNTIFS('AAS Model Checklist'!C3:C21,"필수",'AAS Model Checklist'!F3:F21,"미충족")</x:f>
        <x:v>0</x:v>
      </x:c>
      <x:c r="H7" s="94">
        <x:f>G7/$G$5*100</x:f>
        <x:v>0</x:v>
      </x:c>
      <x:c r="I7" s="114" t="s">
        <x:v>87</x:v>
      </x:c>
    </x:row>
    <x:row r="8">
      <x:c r="A8" s="120"/>
      <x:c r="B8" s="120"/>
      <x:c r="C8" s="120"/>
      <x:c r="D8" s="120"/>
      <x:c r="E8" s="114" t="s">
        <x:v>42</x:v>
      </x:c>
      <x:c r="F8" s="114" t="s">
        <x:v>88</x:v>
      </x:c>
      <x:c r="G8" s="114">
        <x:f>COUNTIFS('AAS Model Checklist'!C3:C21,"옵션",'AAS Model Checklist'!F3:F21,"충족")</x:f>
        <x:v>3</x:v>
      </x:c>
      <x:c r="H8" s="94">
        <x:f>G8/$G$5*100</x:f>
        <x:v>15.789473684210526</x:v>
      </x:c>
      <x:c r="I8" s="114" t="s">
        <x:v>89</x:v>
      </x:c>
    </x:row>
    <x:row r="9">
      <x:c r="A9" s="120"/>
      <x:c r="B9" s="120"/>
      <x:c r="C9" s="120"/>
      <x:c r="D9" s="120"/>
      <x:c r="E9" s="114"/>
      <x:c r="F9" s="114" t="s">
        <x:v>90</x:v>
      </x:c>
      <x:c r="G9" s="114">
        <x:f>COUNTIFS('AAS Model Checklist'!C3:C21,"옵션",'AAS Model Checklist'!F3:F21,"미충족")</x:f>
        <x:v>0</x:v>
      </x:c>
      <x:c r="H9" s="94">
        <x:f>G9/$G$5*100</x:f>
        <x:v>0</x:v>
      </x:c>
      <x:c r="I9" s="114" t="s">
        <x:v>91</x:v>
      </x:c>
    </x:row>
    <x:row r="10">
      <x:c r="A10" s="120"/>
      <x:c r="B10" s="120"/>
      <x:c r="C10" s="120"/>
      <x:c r="D10" s="120"/>
      <x:c r="E10" s="136" t="s">
        <x:v>73</x:v>
      </x:c>
      <x:c r="F10" s="137" t="s">
        <x:v>81</x:v>
      </x:c>
      <x:c r="G10" s="136">
        <x:f>G5</x:f>
        <x:v>19</x:v>
      </x:c>
      <x:c r="H10" s="95">
        <x:f>G10/$G$5*100</x:f>
        <x:v>100</x:v>
      </x:c>
      <x:c r="I10" s="136" t="s">
        <x:v>82</x:v>
      </x:c>
    </x:row>
    <x:row r="11">
      <x:c r="A11" s="121"/>
      <x:c r="B11" s="121"/>
      <x:c r="C11" s="121"/>
      <x:c r="D11" s="121"/>
      <x:c r="E11" s="121"/>
      <x:c r="F11" s="121"/>
      <x:c r="G11" s="121"/>
      <x:c r="H11" s="139"/>
      <x:c r="I11" s="121"/>
    </x:row>
    <x:row r="12" ht="65" customHeight="1">
      <x:c r="A12" s="154" t="str">
        <x:v>※ 확인필요는 충족/미충족 어느 쪽에도 합산하지 않음. 총 19항목을 분모로 표시. Validator 검사 결과가 아닌 문서·패키지 검토 결과임.</x:v>
      </x:c>
      <x:c r="B12" s="154"/>
      <x:c r="C12" s="154"/>
      <x:c r="D12" s="154"/>
      <x:c r="E12" s="154"/>
      <x:c r="F12" s="154"/>
      <x:c r="G12" s="154"/>
      <x:c r="H12" s="155"/>
      <x:c r="I12" s="154"/>
    </x:row>
    <x:row r="13" ht="65" customHeight="1">
      <x:c r="A13" s="115"/>
      <x:c r="B13" s="115"/>
      <x:c r="C13" s="115"/>
      <x:c r="D13" s="115"/>
      <x:c r="E13" s="115" t="str">
        <x:v>확인필요</x:v>
      </x:c>
      <x:c r="F13" s="115"/>
      <x:c r="G13" s="115">
        <x:f>COUNTIF('AAS Model Checklist'!F3:F21,"확인필요")</x:f>
        <x:v>0</x:v>
      </x:c>
      <x:c r="H13" s="156">
        <x:f>G13/$G$5*100</x:f>
        <x:v>0</x:v>
      </x:c>
      <x:c r="I13" s="115" t="inlineStr">
        <x:is>
          <x:t>미확인 항목은 충족 집계에서 제외</x:t>
        </x:is>
      </x:c>
    </x:row>
    <x:row r="14">
      <x:c r="A14" s="121"/>
      <x:c r="B14" s="121"/>
      <x:c r="C14" s="121"/>
      <x:c r="D14" s="121"/>
      <x:c r="E14" s="121"/>
      <x:c r="F14" s="121"/>
      <x:c r="G14" s="121"/>
      <x:c r="H14" s="121"/>
      <x:c r="I14" s="121"/>
    </x:row>
    <x:row r="15">
      <x:c r="A15" s="121"/>
      <x:c r="B15" s="121"/>
      <x:c r="C15" s="121"/>
      <x:c r="D15" s="121"/>
      <x:c r="E15" s="121"/>
      <x:c r="F15" s="121"/>
      <x:c r="G15" s="121"/>
      <x:c r="H15" s="121"/>
      <x:c r="I15" s="121"/>
    </x:row>
  </x:sheetData>
  <x:mergeCells>
    <x:mergeCell ref="A12:I12"/>
    <x:mergeCell ref="A1:I1"/>
    <x:mergeCell ref="A2:D2"/>
    <x:mergeCell ref="E6:E7"/>
    <x:mergeCell ref="E8:E9"/>
    <x:mergeCell ref="A3:D5"/>
    <x:mergeCell ref="A6:D10"/>
    <x:mergeCell ref="E3:F3"/>
    <x:mergeCell ref="E4:F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7"/>
  <x:cols>
    <x:col min="1" max="1" width="23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2.25" customHeight="1">
      <x:c r="A1" s="140" t="s">
        <x:v>92</x:v>
      </x:c>
      <x:c r="B1" s="141"/>
      <x:c r="C1" s="141"/>
      <x:c r="D1" s="141"/>
      <x:c r="E1" s="141"/>
      <x:c r="F1" s="141"/>
      <x:c r="G1" s="107"/>
    </x:row>
    <x:row r="2">
      <x:c r="A2" s="108" t="s">
        <x:v>93</x:v>
      </x:c>
      <x:c r="B2" s="114" t="str">
        <x:v>AI 보조 검토</x:v>
      </x:c>
      <x:c r="C2" s="108" t="s">
        <x:v>94</x:v>
      </x:c>
      <x:c r="D2" s="149" t="str">
        <x:v>최종 승인: 담당자</x:v>
      </x:c>
      <x:c r="E2" s="150" t="s">
        <x:v>95</x:v>
      </x:c>
      <x:c r="F2" s="151" t="inlineStr">
        <x:is>
          <x:t>2026-10-02</x:t>
        </x:is>
      </x:c>
      <x:c r="G2" s="121"/>
    </x:row>
    <x:row r="3">
      <x:c r="A3" s="108"/>
      <x:c r="B3" s="114"/>
      <x:c r="C3" s="108"/>
      <x:c r="D3" s="152"/>
      <x:c r="E3" s="153"/>
      <x:c r="F3" s="152"/>
      <x:c r="G3" s="121"/>
    </x:row>
    <x:row r="4" ht="90" customHeight="1">
      <x:c r="A4" s="109" t="s">
        <x:v>96</x:v>
      </x:c>
      <x:c r="B4" s="90" t="str">
        <x:v>AASX 7개 서브모델 / SME 651개 / CD 330개. 간결정리본 개발계획서 표 401행에서 idShort·semanticId·SME Type 및 Property 예시값 대조 불일치 0건. 동일 이름 반복 요소의 경로별 전체 대조 완료를 의미하지 않음.</x:v>
      </x:c>
      <x:c r="C4" s="90"/>
      <x:c r="D4" s="90"/>
      <x:c r="E4" s="90"/>
      <x:c r="F4" s="90"/>
      <x:c r="G4" s="121"/>
    </x:row>
    <x:row r="5" ht="90" customHeight="1">
      <x:c r="A5" s="109" t="s">
        <x:v>97</x:v>
      </x:c>
      <x:c r="B5" s="90" t="str">
        <x:v>2026-10-26 지적 범위: 표준사전 식별자 4종과 해당 단위·값 환산, 자체 CD 영문 정의 168건을 보완하고 관련 문서만 동기화함. 기존 2026-10-06의 70 Passed·0 Failed 결과는 이력으로 보존함. 최종 보완본은 2026-10-27 재검증하여 70 Passed·0 Failed임.
2026-10-27 CDD 공식 원문 대조 완료. 검토근거/CDD_공식후보_대조.csv 및 CDD_검색기록.txt 참조. 기존 ECLASS 4종 유지. 배기속도와 CDD 누설률은 물리량이 달라 치환하지 않음. AASX 변경 없음.</x:v>
      </x:c>
      <x:c r="C5" s="90"/>
      <x:c r="D5" s="90"/>
      <x:c r="E5" s="90"/>
      <x:c r="F5" s="90"/>
      <x:c r="G5" s="121"/>
    </x:row>
    <x:row r="6" ht="90" customHeight="1">
      <x:c r="A6" s="109" t="s">
        <x:v>4</x:v>
      </x:c>
      <x:c r="B6" s="92" t="str">
        <x:v>검토 기준: ChemicalVaporDepositionEquipment_AAS_v0.0.1.aasx / 2026-10-27 결과 반영. SHA-256: 5731cc046c9aebfa7d85b6e072bc851cae2d13043752e005d8bbc9f3b332d8ea</x:v>
      </x:c>
      <x:c r="C6" s="92"/>
      <x:c r="D6" s="92"/>
      <x:c r="E6" s="92"/>
      <x:c r="F6" s="92"/>
      <x:c r="G6" s="121"/>
    </x:row>
    <x:row r="7" ht="90" customHeight="1">
      <x:c r="A7" s="115"/>
      <x:c r="B7" s="115"/>
      <x:c r="C7" s="115"/>
      <x:c r="D7" s="115"/>
      <x:c r="E7" s="115"/>
      <x:c r="F7" s="115"/>
      <x:c r="G7" s="121"/>
    </x:row>
    <x:row r="8" ht="90" customHeight="1">
      <x:c r="A8" s="115" t="str">
        <x:v>공식 버전 근거</x:v>
      </x:c>
      <x:c r="B8" s="115" t="str">
        <x:v>https://industrialdigitaltwin.org/en/content-hub/submodels (2026-09-26 확인). Nameplate 4.0은 In Development이므로 Published 3.0.1을 기준으로 함.</x:v>
      </x:c>
      <x:c r="C8" s="115"/>
      <x:c r="D8" s="115"/>
      <x:c r="E8" s="115"/>
      <x:c r="F8" s="115"/>
      <x:c r="G8" s="121"/>
    </x:row>
    <x:row r="9" ht="90" customHeight="1">
      <x:c r="A9" s="115" t="str">
        <x:v>대조 원본</x:v>
      </x:c>
      <x:c r="B9" s="115" t="str">
        <x:v>references/from-idta-template-folder의 IDTA 02003 2.0.1 / 02004 2.0.1 / 02006 3.0.1 / 02008 1.1.1 / 02031-1 / 02048 AASX.</x:v>
      </x:c>
      <x:c r="C9" s="115"/>
      <x:c r="D9" s="115"/>
      <x:c r="E9" s="115"/>
      <x:c r="F9" s="115"/>
      <x:c r="G9" s="121"/>
    </x:row>
    <x:row r="10" ht="90" customHeight="1">
      <x:c r="A10" s="115" t="str">
        <x:v>검토 기준</x:v>
      </x:c>
      <x:c r="B10" s="115" t="str">
        <x:v>AAS 모델링가이드라인 V2.1.1 (20260826), 체크리스트 V2.1.0 (20260905), 산출물 제출 전 선제 검토 문서 (2).xlsx의 공통 지적 원칙.</x:v>
      </x:c>
      <x:c r="C10" s="115"/>
      <x:c r="D10" s="115"/>
      <x:c r="E10" s="115"/>
      <x:c r="F10" s="115"/>
      <x:c r="G10" s="121"/>
    </x:row>
    <x:row r="11" ht="90" customHeight="1">
      <x:c r="A11" s="115" t="str">
        <x:v>CD 원본 예외</x:v>
      </x:c>
      <x:c r="B11" s="115" t="str">
        <x:v>로컬 CD 미수록 9종: AddressInformation, Markings, AssetSpecificProperties, GuidelineSpecificProperties, AHD205#004, LinkedSegment/EndTime(원본 끝 공백), RemainingUsefulLifetime, ConditionName, ListPreAlerts. 전체 IRI/경로는 검토근거 JSON 참조.</x:v>
      </x:c>
      <x:c r="C11" s="115"/>
      <x:c r="D11" s="115"/>
      <x:c r="E11" s="115"/>
      <x:c r="F11" s="115"/>
      <x:c r="G11" s="121"/>
    </x:row>
    <x:row r="12" ht="90" customHeight="1">
      <x:c r="A12" s="115" t="inlineStr">
        <x:is>
          <x:t>공식 CD 정의 복원</x:t>
        </x:is>
      </x:c>
      <x:c r="B12" s="115" t="inlineStr">
        <x:is>
          <x:t>ClassificationSystem(0173-1#02-ABH997#003) 및 DocumentVersion(0173-1#02-ABI503#003/0173-1#01-AHF582#003)의 definition을 IDTA 02004-2-0-1 원본으로 복원했다. 원본에 독일어 문장이 en으로 중복 표기된 부분도 가이드라인 V2.1.1 #8의 임의 수정 금지 원칙에 따라 보존한다.</x:t>
        </x:is>
      </x:c>
      <x:c r="C12" s="115"/>
      <x:c r="D12" s="115"/>
      <x:c r="E12" s="115"/>
      <x:c r="F12" s="115"/>
      <x:c r="G12" s="121"/>
    </x:row>
    <x:row r="13" ht="90" customHeight="1">
      <x:c r="A13" s="115" t="str">
        <x:v>시계열</x:v>
      </x:c>
      <x:c r="B13" s="115" t="str">
        <x:v>CSV 1행, Internal Record 1건, Blob 데이터 동일. Metadata 23필드와 CSV 열 일치. 외부 API 주소는 예시이며 실제 접속·데이터 수집을 보증하지 않음.</x:v>
      </x:c>
      <x:c r="C13" s="115"/>
      <x:c r="D13" s="115"/>
      <x:c r="E13" s="115"/>
      <x:c r="F13" s="115"/>
      <x:c r="G13" s="121"/>
    </x:row>
    <x:row r="14" ht="90" customHeight="1">
      <x:c r="A14" s="115" t="str">
        <x:v>선택 AI 참조</x:v>
      </x:c>
      <x:c r="B14" s="115" t="str">
        <x:v>SMAIModelNamePlate는 값 없음. 계획서에 외부 AI 모델 미배포·미적용 근거가 있음. 8번째 서브모델을 임의 추가하지 않음.</x:v>
      </x:c>
      <x:c r="C14" s="115"/>
      <x:c r="D14" s="115"/>
      <x:c r="E14" s="115"/>
      <x:c r="F14" s="115"/>
      <x:c r="G14" s="121"/>
    </x:row>
    <x:row r="15" ht="90" customHeight="1">
      <x:c r="A15" s="115" t="str">
        <x:v>Validator</x:v>
      </x:c>
      <x:c r="B15" s="115" t="str">
        <x:v>2026-10-27 검사: 70 Passed·0 Failed. 결과 파일: 20261027115259_test_result.html. 표준 SM 6종은 자동검사 제외 대상이므로 공식 원본과의 경로 대조 근거를 별도로 적용한다.</x:v>
      </x:c>
      <x:c r="C15" s="115"/>
      <x:c r="D15" s="115"/>
      <x:c r="E15" s="115"/>
      <x:c r="F15" s="115"/>
      <x:c r="G15" s="121"/>
    </x:row>
    <x:row r="16" ht="90" customHeight="1">
      <x:c r="A16" s="154" t="str">
        <x:v>검토 한계</x:v>
      </x:c>
      <x:c r="B16" s="154" t="inlineStr">
        <x:is>
          <x:t>104개 가이던스 묶음 표·475개 직접 하위 항목을 수정 AASX와 대조했다. 자체 시간은 xs:double/REAL_MEASURE/s로 통일했다. 근거: IDTA Part 3a의 TIME→xs:time, REAL_MEASURE→xs:double 대응표(https://industrialdigitaltwin.io/aas-specifications/IDTA-01003-a/v3.1.1/specification.html). 공식 전체 다중성·의미 제약, 모든 그림의 의미 및 실제 성능 검증 완료를 뜻하지 않는다.</x:t>
        </x:is>
      </x:c>
      <x:c r="C16" s="154"/>
      <x:c r="D16" s="154"/>
      <x:c r="E16" s="154"/>
      <x:c r="F16" s="154"/>
      <x:c r="G16" s="121"/>
    </x:row>
    <x:row r="17">
      <x:c r="A17" s="121"/>
      <x:c r="B17" s="121"/>
      <x:c r="C17" s="121"/>
      <x:c r="D17" s="121"/>
      <x:c r="E17" s="121"/>
      <x:c r="F17" s="121"/>
      <x:c r="G17" s="121"/>
    </x:row>
    <x:row r="18">
      <x:c r="A18" s="121"/>
      <x:c r="B18" s="121"/>
      <x:c r="C18" s="121"/>
      <x:c r="D18" s="121"/>
      <x:c r="E18" s="121"/>
      <x:c r="F18" s="121"/>
      <x:c r="G18" s="121"/>
    </x:row>
    <x:row r="19">
      <x:c r="A19" s="121"/>
      <x:c r="B19" s="121"/>
      <x:c r="C19" s="121"/>
      <x:c r="D19" s="121"/>
      <x:c r="E19" s="121"/>
      <x:c r="F19" s="121"/>
      <x:c r="G19" s="121"/>
    </x:row>
    <x:row r="20">
      <x:c r="A20" s="121"/>
      <x:c r="B20" s="121"/>
      <x:c r="C20" s="121"/>
      <x:c r="D20" s="121"/>
      <x:c r="E20" s="121"/>
      <x:c r="F20" s="121"/>
      <x:c r="G20" s="121"/>
    </x:row>
    <x:row r="21">
      <x:c r="A21" s="121"/>
      <x:c r="B21" s="121"/>
      <x:c r="C21" s="121"/>
      <x:c r="D21" s="121"/>
      <x:c r="E21" s="121"/>
      <x:c r="F21" s="121"/>
      <x:c r="G21" s="121"/>
    </x:row>
    <x:row r="22">
      <x:c r="A22" s="121"/>
      <x:c r="B22" s="121"/>
      <x:c r="C22" s="121"/>
      <x:c r="D22" s="121"/>
      <x:c r="E22" s="121"/>
      <x:c r="F22" s="121"/>
      <x:c r="G22" s="121"/>
    </x:row>
    <x:row r="23">
      <x:c r="A23" s="121"/>
      <x:c r="B23" s="121"/>
      <x:c r="C23" s="121"/>
      <x:c r="D23" s="121"/>
      <x:c r="E23" s="121"/>
      <x:c r="F23" s="121"/>
      <x:c r="G23" s="121"/>
    </x:row>
    <x:row r="24">
      <x:c r="A24" s="121"/>
      <x:c r="B24" s="121"/>
      <x:c r="C24" s="121"/>
      <x:c r="D24" s="121"/>
      <x:c r="E24" s="121"/>
      <x:c r="F24" s="121"/>
      <x:c r="G24" s="121"/>
    </x:row>
  </x:sheetData>
  <x:mergeCells>
    <x:mergeCell ref="B5:F5"/>
    <x:mergeCell ref="B4:F4"/>
    <x:mergeCell ref="B6:F6"/>
    <x:mergeCell ref="A1:F1"/>
    <x:mergeCell ref="A2:A3"/>
    <x:mergeCell ref="B2:B3"/>
    <x:mergeCell ref="C2:C3"/>
    <x:mergeCell ref="D2:D3"/>
    <x:mergeCell ref="E2:E3"/>
    <x:mergeCell ref="F2:F3"/>
    <x:mergeCell ref="B8:F8"/>
    <x:mergeCell ref="B9:F9"/>
    <x:mergeCell ref="B10:F10"/>
    <x:mergeCell ref="B11:F11"/>
    <x:mergeCell ref="B12:F12"/>
    <x:mergeCell ref="B13:F13"/>
    <x:mergeCell ref="B14:F14"/>
    <x:mergeCell ref="B15:F15"/>
    <x:mergeCell ref="B16:F16"/>
  </x:mergeCells>
  <x:pageMargins left="0.7" right="0.7" top="0.75" bottom="0.75" header="0.3" footer="0.3"/>
</x:worksheet>
</file>