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IODA\Desktop\오주현\aas 담당 장비 최종 수정용\0928 최종제출\고속밀링기\"/>
    </mc:Choice>
  </mc:AlternateContent>
  <xr:revisionPtr revIDLastSave="0" documentId="13_ncr:1_{C941F128-D722-4AD9-8AE9-1171125DA7EB}" xr6:coauthVersionLast="47" xr6:coauthVersionMax="47" xr10:uidLastSave="{00000000-0000-0000-0000-000000000000}"/>
  <bookViews>
    <workbookView xWindow="630" yWindow="1440" windowWidth="13950" windowHeight="11295" firstSheet="1" activeTab="3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E17" i="4"/>
  <c r="E16" i="4"/>
  <c r="E15" i="4"/>
  <c r="E14" i="4"/>
  <c r="E13" i="4"/>
  <c r="E12" i="4"/>
  <c r="G9" i="3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<sst xmlns="http://schemas.openxmlformats.org/spreadsheetml/2006/main" count="215" uniqueCount="171">
  <si>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</si>
  <si>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</si>
  <si>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</si>
  <si>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</si>
  <si>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</si>
  <si>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</si>
  <si>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</si>
  <si>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</si>
  <si>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</si>
  <si>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</si>
  <si>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</si>
  <si>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</si>
  <si>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</si>
  <si>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</si>
  <si>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</si>
  <si>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</si>
  <si>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</si>
  <si>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</si>
  <si>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</si>
  <si>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</si>
  <si>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</si>
  <si>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</si>
  <si>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</si>
  <si>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</si>
  <si>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</si>
  <si>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</si>
  <si>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</si>
  <si>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</si>
  <si>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</si>
  <si>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</si>
  <si>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</si>
  <si>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</si>
  <si>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</si>
  <si>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</si>
  <si>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</si>
  <si>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</si>
  <si>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</si>
  <si>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</si>
  <si>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</si>
  <si>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</si>
  <si>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</si>
  <si>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</si>
  <si>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</si>
  <si>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</si>
  <si>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</si>
  <si>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</si>
  <si>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</si>
  <si>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</si>
  <si>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</si>
  <si>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</si>
  <si>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</si>
  <si>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</si>
  <si>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</si>
  <si>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</si>
  <si>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</si>
  <si>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</si>
  <si>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</si>
  <si>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</si>
  <si>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</si>
  <si>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</si>
  <si>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</si>
  <si>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</si>
  <si>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</si>
  <si>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</si>
  <si>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</si>
  <si>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</si>
  <si>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</si>
  <si>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</si>
  <si>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</si>
  <si>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</si>
  <si>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</si>
  <si>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</si>
  <si>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</si>
  <si>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</si>
  <si>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</si>
  <si>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</si>
  <si>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</si>
  <si>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</si>
  <si>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</si>
  <si>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</si>
  <si>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</si>
  <si>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</si>
  <si>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</si>
  <si>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</si>
  <si>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</si>
  <si>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</si>
  <si>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</si>
  <si>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</si>
  <si>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</si>
  <si>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</si>
  <si>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</si>
  <si>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</si>
  <si>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</si>
  <si>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</si>
  <si>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</si>
  <si>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</si>
  <si>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</si>
  <si>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</si>
  <si>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</si>
  <si>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</si>
  <si>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</si>
  <si>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</si>
  <si>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</si>
  <si>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</si>
  <si>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AASX 파일에 고속밀링기 장비 이미지가 포함되어 있으며, AssetInformation의 defaultThumbnail에 해당 이미지 경로가 정상적으로 설정되어 있음.</t>
    <phoneticPr fontId="2" type="noConversion"/>
  </si>
  <si>
    <t>AAS, Submodel 및 주요 Submodel Element에 각각의 기능과 의미를 식별할 수 있는 idShort가 적절하게 설정되어 있음.</t>
    <phoneticPr fontId="2" type="noConversion"/>
  </si>
  <si>
    <t>idShort가 영문과 숫자를 중심으로 일관되게 작성되어 있으며, 각 요소의 의미를 쉽게 구분할 수 있도록 명명되어 있음.</t>
    <phoneticPr fontId="2" type="noConversion"/>
  </si>
  <si>
    <t>AAS ID가 고속밀링기를 식별할 수 있는 IRI 형식으로 구성되어 있으며, administration의 버전 정보와도 일관되게 관리되고 있음.</t>
    <phoneticPr fontId="2" type="noConversion"/>
  </si>
  <si>
    <t>Digital Nameplate, Handover Documentation, Technical Data 및 Operational Data 등 필수 서브모델을 포함하여 총 8종의 서브모델로 구성되어 있음.</t>
    <phoneticPr fontId="2" type="noConversion"/>
  </si>
  <si>
    <t>대상 장비의 자산을 식별할 수 있도록 globalAssetId가 설정되어 있으며, AAS ID와 구분되는 별도의 자산 식별체계를 적용하고 있음.</t>
    <phoneticPr fontId="2" type="noConversion"/>
  </si>
  <si>
    <t>개별 실물 장비가 아닌 고속밀링기 장비 유형을 표현하는 모델이므로 AssetKind가 Type으로 적절하게 설정되어 있음.</t>
    <phoneticPr fontId="2" type="noConversion"/>
  </si>
  <si>
    <t>Digital Nameplate, Technical Data, Time Series 등 IDTA에서 공개한 표준 서브모델 템플릿의 배포 버전을 기준으로 모델이 구성되어 있음.</t>
    <phoneticPr fontId="2" type="noConversion"/>
  </si>
  <si>
    <t>각 서브모델에 용도별로 구분되는 고유 ID가 설정되어 있으며, ID에 포함된 버전 정보와 administration 정보도 일관성을 유지하고 있음.</t>
    <phoneticPr fontId="2" type="noConversion"/>
  </si>
  <si>
    <t>표준 서브모델에는 해당 IDTA 템플릿의 Semantic ID가 적용되어 있으며, 장비 특화 서브모델도 용도를 식별할 수 있는 Semantic ID가 설정되어 있음.</t>
    <phoneticPr fontId="2" type="noConversion"/>
  </si>
  <si>
    <t>재사용 가능한 고속밀링기 유형 모델로 활용할 수 있도록 각 서브모델의 kind가 Template으로 일관되게 설정되어 있음.</t>
    <phoneticPr fontId="2" type="noConversion"/>
  </si>
  <si>
    <t>기술정보, 운전데이터, 공정조건 및 예지보전 정보가 기능별 Collection으로 구분되어 있어 장비 정보를 단계적으로 확인할 수 있도록 구성되어 있음.</t>
    <phoneticPr fontId="2" type="noConversion"/>
  </si>
  <si>
    <t>모델의 활용이나 참조를 제한할 수 있는 Operation, BasicEventElement 및 Capability 등의 특수 SME는 사용하지 않아 일반적인 정보 조회에 적합함.</t>
  </si>
  <si>
    <t>주요 Submodel Element가 관련 ConceptDescription과 연결되어 있어 각 데이터의 명칭, 의미 및 데이터 형식을 확인할 수 있도록 구성되어 있음.</t>
    <phoneticPr fontId="2" type="noConversion"/>
  </si>
  <si>
    <t>주요 Property에 고속밀링기의 장비 사양과 운전 특성을 확인할 수 있는 예시값이 입력되어 있어 모델의 이해와 활용이 용이함.</t>
  </si>
  <si>
    <t>Property의 valueType이 문자열, 정수 및 실수 등 각 데이터의 특성에 맞게 설정되어 있으며, 전반적으로 ConceptDescription의 데이터 정의와 부합함.</t>
    <phoneticPr fontId="2" type="noConversion"/>
  </si>
  <si>
    <t>ConceptDescription ID가 IRI 또는 IRDI 형식으로 작성되어 있으며, 표준 분류체계 항목과 자체 정의 항목을 구분하여 식별할 수 있음.</t>
    <phoneticPr fontId="2" type="noConversion"/>
  </si>
  <si>
    <t>주요 ConceptDescription에 영문 definition이 작성되어 있어 각 Property의 의미와 활용 목적을 이해할 수 있도록 구성되어 있음.</t>
    <phoneticPr fontId="2" type="noConversion"/>
  </si>
  <si>
    <t>데이터 형식이 필요한 ConceptDescription에는 dataType이 설정되어 있으며, eCl@ss·CDD 및 표준 템플릿 항목은 해당 표준의 정의를 기준으로 적용되어 있음.</t>
    <phoneticPr fontId="2" type="noConversion"/>
  </si>
  <si>
    <t>오주현</t>
    <phoneticPr fontId="2" type="noConversion"/>
  </si>
  <si>
    <t>한양대학교 ERICA</t>
    <phoneticPr fontId="2" type="noConversion"/>
  </si>
  <si>
    <t>판정</t>
  </si>
  <si>
    <t>검토 범위 내 적합</t>
  </si>
  <si>
    <t>구분</t>
  </si>
  <si>
    <t>검토 범위</t>
  </si>
  <si>
    <t>서브모델·버전</t>
  </si>
  <si>
    <t>핵심 확인사항</t>
  </si>
  <si>
    <t>검토 결과</t>
  </si>
  <si>
    <t>Nameplate 3.0.1</t>
  </si>
  <si>
    <t>표준 식별 항목, 필수 주소 4개, Markings 구조</t>
  </si>
  <si>
    <t>필수 항목과 표준 구조 일치. 일부 로컬 CD 미수록은 공식 원본에도 존재함.</t>
  </si>
  <si>
    <t>HandoverDocumentation 2.0.1</t>
  </si>
  <si>
    <t>문서 ID·분류·버전·첨부파일 구조</t>
  </si>
  <si>
    <t>TechnicalData 2.0.1</t>
  </si>
  <si>
    <t>표준 구조, 장비특화 기술사양의 확장 위치</t>
  </si>
  <si>
    <t>4개 기술사양 영역이 허용된 확장 위치에 구성됨. 참조 경로·자료형·단위 확인.</t>
  </si>
  <si>
    <t>ProcessParameters 1.0</t>
  </si>
  <si>
    <t>절삭공구·절삭유 배치 및 ProcessBoM 의미</t>
  </si>
  <si>
    <t>CuttingTool은 자원, Coolant는 공정 파라미터로 구분됨. ProcessBoM은 제품·반제품 용도로 유지. 가이던스도 일치함.</t>
  </si>
  <si>
    <t>143번 수정 완료</t>
  </si>
  <si>
    <t>PredictiveMaintenance 1.0</t>
  </si>
  <si>
    <t>잔여수명·경계조건·경보 구조 및 예시값</t>
  </si>
  <si>
    <t>표준 구조와 주요 값의 일관성 확인. 일부 CD 중복·미수록은 공식 원본기인 사항으로 기록함.</t>
  </si>
  <si>
    <t>TimeSeries 1.1.1</t>
  </si>
  <si>
    <t>변수 정의와 실제 기록, 기록 수·시간·주기</t>
  </si>
  <si>
    <t>변수·단위·자료형 일치. 기록 1건, RecordCount=1, 시간 범위 및 1초·1 Hz 설정이 일관됨.</t>
  </si>
  <si>
    <t>PVM 1.0</t>
  </si>
  <si>
    <t>9개 KPI 입력 변수의 구조·자료형·집계 범위</t>
  </si>
  <si>
    <t>표준 구조·자료형 일치. 동일 정삭 공정의 집계 범위와 시간·수량 관계 확인.</t>
  </si>
  <si>
    <t>IDTA 표준 서브모델 수동 검토 결과</t>
  </si>
  <si>
    <t>내용</t>
  </si>
  <si>
    <t>검토 대상·일자</t>
  </si>
  <si>
    <t>HighSpeedMillingMachine_V0.0.1.aasx / 2026-09-26</t>
  </si>
  <si>
    <t>공식 근거</t>
  </si>
  <si>
    <t>가이던스에 연결된 각 버전의 IDTA Published JSON·설명서. 기준 커밋: 935364b909a2d821528669f94b0629f0014274e4</t>
  </si>
  <si>
    <t>예외 판단</t>
  </si>
  <si>
    <t>종합 결과</t>
  </si>
  <si>
    <t>파일 기반 구조·의미 대조이며, 외부 표준사전 전체 재검증·실측 성능 검증·Validator 재실행은 포함하지 않음.</t>
  </si>
  <si>
    <t>표준 서브모델 7개의 수동 검토 결과와 예외사항은 본 시트 하단 표 참조.</t>
    <phoneticPr fontId="2" type="noConversion"/>
  </si>
  <si>
    <t xml:space="preserve"> </t>
    <phoneticPr fontId="2" type="noConversion"/>
  </si>
  <si>
    <t>GitHub 공식 원본</t>
  </si>
  <si>
    <t>표준 구조와 첨부파일 확인. definition 언어태그 2건은 공식 Published 원본과 동일하게 복원함.</t>
    <phoneticPr fontId="2" type="noConversion"/>
  </si>
  <si>
    <t>검토 범위 내 적합</t>
    <phoneticPr fontId="2" type="noConversion"/>
  </si>
  <si>
    <t>언어태그 원본 복원</t>
    <phoneticPr fontId="2" type="noConversion"/>
  </si>
  <si>
    <t>ClassificationSystem 및 DocumentVersion CD의 definition 언어태그 2건을 de에서 en으로 복원함. 독일어 문장과 식별자·구조는 변경하지 않음</t>
    <phoneticPr fontId="2" type="noConversion"/>
  </si>
  <si>
    <t>제출 양식의 원본 오류 수정 금지 기준에 따라 해당 언어태그는 공식 원본을 유지함. 원본기인 오류는 제출본 고유 오류와 구분함.</t>
    <phoneticPr fontId="2" type="noConversion"/>
  </si>
  <si>
    <t>7개 서브모델 수동 대조 완료. 검토 범위에서 필수 구조 누락 및 표준 요소의 semanticId·유형·자료형 불일치는 발견되지 않음. 언어태그 2건의 공식 원본 복원을 확인함.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</si>
</sst>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 (본문)"/>
      <family val="3"/>
      <charset val="129"/>
    </font>
    <font>
      <sz val="10"/>
      <color rgb="FF000000"/>
      <name val="맑은 고딕 (본문)"/>
      <family val="3"/>
      <charset val="129"/>
    </font>
    <font>
      <b/>
      <sz val="11"/>
      <color theme="1"/>
      <name val="맑은 고딕"/>
      <family val="2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b/>
      <sz val="15"/>
      <color theme="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101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30" fillId="0" borderId="2" xfId="0" applyFont="1" applyBorder="1">
      <alignment vertical="center"/>
    </xf>
    <xf numFmtId="0" fontId="30" fillId="0" borderId="2" xfId="0" quotePrefix="1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0" fillId="0" borderId="0" xfId="0" applyFont="1">
      <alignment vertical="center"/>
    </xf>
    <xf numFmtId="0" fontId="30" fillId="0" borderId="2" xfId="0" quotePrefix="1" applyFont="1" applyBorder="1" applyAlignment="1">
      <alignment vertical="center" wrapText="1"/>
    </xf>
    <xf numFmtId="0" fontId="30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 wrapText="1"/>
    </xf>
    <xf numFmtId="0" fontId="32" fillId="4" borderId="2" xfId="0" applyFont="1" applyFill="1" applyBorder="1">
      <alignment vertical="center"/>
    </xf>
    <xf numFmtId="0" fontId="33" fillId="0" borderId="2" xfId="0" applyFont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C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opLeftCell="A4" zoomScale="140" zoomScaleNormal="140" workbookViewId="0">
      <selection activeCell="C10" sqref="C10"/>
    </sheetView>
  </sheetViews>
  <sheetFormatPr defaultColWidth="8.875" defaultRowHeight="16.5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75" customWidth="1"/>
    <col min="6" max="6" width="8.875" style="20" customWidth="1"/>
  </cols>
  <sheetData>
    <row r="1" spans="1:6" ht="20.25">
      <c r="A1" s="75" t="s">
        <v>39</v>
      </c>
      <c r="B1" s="76"/>
      <c r="C1" s="76"/>
      <c r="D1" s="77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82" t="s">
        <v>0</v>
      </c>
      <c r="B3" s="80" t="s">
        <v>84</v>
      </c>
      <c r="C3" s="81"/>
      <c r="D3" s="41" t="e" vm="1">
        <v>#VALUE!</v>
      </c>
    </row>
    <row r="4" spans="1:6" ht="51" customHeight="1">
      <c r="A4" s="83"/>
      <c r="B4" s="4" t="s">
        <v>14</v>
      </c>
      <c r="C4" s="6" t="s">
        <v>40</v>
      </c>
      <c r="D4" s="9"/>
    </row>
    <row r="5" spans="1:6" ht="78" customHeight="1">
      <c r="A5" s="83"/>
      <c r="B5" s="10" t="s">
        <v>28</v>
      </c>
      <c r="C5" s="6" t="s">
        <v>75</v>
      </c>
      <c r="D5" s="9"/>
    </row>
    <row r="6" spans="1:6" ht="283.5">
      <c r="A6" s="83"/>
      <c r="B6" s="4" t="s">
        <v>29</v>
      </c>
      <c r="C6" s="6" t="s">
        <v>101</v>
      </c>
      <c r="D6" s="4"/>
      <c r="F6" s="21"/>
    </row>
    <row r="7" spans="1:6" ht="182.45" customHeight="1">
      <c r="A7" s="84"/>
      <c r="B7" s="9" t="s">
        <v>88</v>
      </c>
      <c r="C7" s="40" t="s">
        <v>102</v>
      </c>
      <c r="D7" s="11" t="e" vm="2">
        <v>#VALUE!</v>
      </c>
      <c r="F7" s="21"/>
    </row>
    <row r="8" spans="1:6" ht="94.5">
      <c r="A8" s="78" t="s">
        <v>59</v>
      </c>
      <c r="B8" s="4" t="s">
        <v>11</v>
      </c>
      <c r="C8" s="7" t="s">
        <v>103</v>
      </c>
      <c r="D8" s="4"/>
    </row>
    <row r="9" spans="1:6" ht="61.5" customHeight="1">
      <c r="A9" s="79"/>
      <c r="B9" s="4" t="s">
        <v>13</v>
      </c>
      <c r="C9" s="6" t="s">
        <v>74</v>
      </c>
      <c r="D9" s="4"/>
    </row>
    <row r="10" spans="1:6" ht="94.5">
      <c r="A10" s="79"/>
      <c r="B10" s="4" t="s">
        <v>16</v>
      </c>
      <c r="C10" s="42" t="s">
        <v>89</v>
      </c>
      <c r="D10" s="4"/>
    </row>
    <row r="11" spans="1:6" ht="243">
      <c r="A11" s="79"/>
      <c r="B11" s="4" t="s">
        <v>69</v>
      </c>
      <c r="C11" s="37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opLeftCell="E11" zoomScale="115" zoomScaleNormal="115" workbookViewId="0">
      <selection activeCell="G17" sqref="G17"/>
    </sheetView>
  </sheetViews>
  <sheetFormatPr defaultColWidth="8.875" defaultRowHeight="16.5"/>
  <cols>
    <col min="1" max="1" width="17.5" style="13" bestFit="1" customWidth="1"/>
    <col min="2" max="2" width="4.5" style="13" bestFit="1" customWidth="1"/>
    <col min="3" max="3" width="6.375" style="13" bestFit="1" customWidth="1"/>
    <col min="4" max="4" width="26.5" style="13" bestFit="1" customWidth="1"/>
    <col min="5" max="5" width="71.375" style="13" customWidth="1"/>
    <col min="6" max="6" width="10" style="13" customWidth="1"/>
    <col min="7" max="7" width="129.375" style="32" customWidth="1"/>
    <col min="8" max="8" width="24" customWidth="1"/>
    <col min="9" max="9" width="107.375" style="22" customWidth="1"/>
    <col min="10" max="10" width="13" style="24" customWidth="1"/>
    <col min="11" max="11" width="39.5" customWidth="1"/>
  </cols>
  <sheetData>
    <row r="1" spans="1:11" ht="20.25">
      <c r="A1" s="75" t="s">
        <v>83</v>
      </c>
      <c r="B1" s="76"/>
      <c r="C1" s="76"/>
      <c r="D1" s="76"/>
      <c r="E1" s="76"/>
      <c r="F1" s="76"/>
      <c r="G1" s="77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27">
      <c r="A3" s="3" t="s">
        <v>8</v>
      </c>
      <c r="B3" s="4">
        <v>1</v>
      </c>
      <c r="C3" s="4" t="s">
        <v>9</v>
      </c>
      <c r="D3" s="4" t="s">
        <v>10</v>
      </c>
      <c r="E3" s="45" t="s">
        <v>91</v>
      </c>
      <c r="F3" s="17" t="b">
        <v>1</v>
      </c>
      <c r="G3" s="46" t="s">
        <v>104</v>
      </c>
      <c r="K3" s="25"/>
    </row>
    <row r="4" spans="1:11" ht="24" customHeight="1">
      <c r="A4" s="82" t="s">
        <v>76</v>
      </c>
      <c r="B4" s="9">
        <v>2</v>
      </c>
      <c r="C4" s="9" t="s">
        <v>9</v>
      </c>
      <c r="D4" s="9" t="s">
        <v>11</v>
      </c>
      <c r="E4" s="43" t="s">
        <v>12</v>
      </c>
      <c r="F4" s="17" t="b">
        <v>1</v>
      </c>
      <c r="G4" s="46" t="s">
        <v>105</v>
      </c>
      <c r="K4" s="25"/>
    </row>
    <row r="5" spans="1:11" ht="67.5">
      <c r="A5" s="84"/>
      <c r="B5" s="9">
        <v>3</v>
      </c>
      <c r="C5" s="9" t="s">
        <v>9</v>
      </c>
      <c r="D5" s="9" t="s">
        <v>55</v>
      </c>
      <c r="E5" s="43" t="s">
        <v>95</v>
      </c>
      <c r="F5" s="17" t="b">
        <v>1</v>
      </c>
      <c r="G5" s="46" t="s">
        <v>106</v>
      </c>
      <c r="K5" s="25"/>
    </row>
    <row r="6" spans="1:11" ht="54">
      <c r="A6" s="82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47" t="s">
        <v>107</v>
      </c>
      <c r="K6" s="25"/>
    </row>
    <row r="7" spans="1:11" ht="54">
      <c r="A7" s="83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48" t="s">
        <v>108</v>
      </c>
      <c r="K7" s="25"/>
    </row>
    <row r="8" spans="1:11" ht="24.95" customHeight="1">
      <c r="A8" s="83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48" t="s">
        <v>109</v>
      </c>
      <c r="K8" s="25"/>
    </row>
    <row r="9" spans="1:11" ht="24.95" customHeight="1">
      <c r="A9" s="84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48" t="s">
        <v>110</v>
      </c>
      <c r="K9" s="25"/>
    </row>
    <row r="10" spans="1:11" ht="33.950000000000003" customHeight="1">
      <c r="A10" s="82" t="s">
        <v>21</v>
      </c>
      <c r="B10" s="9">
        <v>8</v>
      </c>
      <c r="C10" s="9" t="s">
        <v>9</v>
      </c>
      <c r="D10" s="9" t="s">
        <v>77</v>
      </c>
      <c r="E10" s="44" t="s">
        <v>78</v>
      </c>
      <c r="F10" s="18" t="b">
        <v>1</v>
      </c>
      <c r="G10" s="48" t="s">
        <v>111</v>
      </c>
      <c r="K10" s="25"/>
    </row>
    <row r="11" spans="1:11" ht="54">
      <c r="A11" s="83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48" t="s">
        <v>112</v>
      </c>
      <c r="K11" s="27"/>
    </row>
    <row r="12" spans="1:11" ht="27">
      <c r="A12" s="83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48" t="s">
        <v>113</v>
      </c>
      <c r="I12" s="23"/>
      <c r="J12" s="28"/>
      <c r="K12" s="25"/>
    </row>
    <row r="13" spans="1:11" ht="24.95" customHeight="1">
      <c r="A13" s="83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49" t="s">
        <v>114</v>
      </c>
      <c r="K13" s="25"/>
    </row>
    <row r="14" spans="1:11" ht="129.94999999999999" customHeight="1">
      <c r="A14" s="84"/>
      <c r="B14" s="9">
        <v>12</v>
      </c>
      <c r="C14" s="9" t="s">
        <v>15</v>
      </c>
      <c r="D14" s="9" t="s">
        <v>79</v>
      </c>
      <c r="E14" s="44" t="s">
        <v>97</v>
      </c>
      <c r="F14" s="18" t="b">
        <v>1</v>
      </c>
      <c r="G14" s="49" t="s">
        <v>115</v>
      </c>
      <c r="K14" s="25"/>
    </row>
    <row r="15" spans="1:11" ht="27">
      <c r="A15" s="91" t="s">
        <v>85</v>
      </c>
      <c r="B15" s="9">
        <v>13</v>
      </c>
      <c r="C15" s="9" t="s">
        <v>15</v>
      </c>
      <c r="D15" s="41" t="s">
        <v>82</v>
      </c>
      <c r="E15" s="43" t="s">
        <v>98</v>
      </c>
      <c r="F15" s="18" t="b">
        <v>1</v>
      </c>
      <c r="G15" s="50" t="s">
        <v>116</v>
      </c>
      <c r="K15" s="25"/>
    </row>
    <row r="16" spans="1:11" ht="26.1" customHeight="1">
      <c r="A16" s="92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52" t="s">
        <v>117</v>
      </c>
      <c r="K16" s="25"/>
    </row>
    <row r="17" spans="1:11" ht="53.1" customHeight="1">
      <c r="A17" s="91" t="s">
        <v>86</v>
      </c>
      <c r="B17" s="9">
        <v>15</v>
      </c>
      <c r="C17" s="9" t="s">
        <v>9</v>
      </c>
      <c r="D17" s="9" t="s">
        <v>24</v>
      </c>
      <c r="E17" s="43" t="s">
        <v>99</v>
      </c>
      <c r="F17" s="17" t="b">
        <v>1</v>
      </c>
      <c r="G17" s="50" t="s">
        <v>118</v>
      </c>
      <c r="K17" s="25"/>
    </row>
    <row r="18" spans="1:11" ht="36.950000000000003" customHeight="1">
      <c r="A18" s="92"/>
      <c r="B18" s="5">
        <v>16</v>
      </c>
      <c r="C18" s="4" t="s">
        <v>9</v>
      </c>
      <c r="D18" s="10" t="s">
        <v>81</v>
      </c>
      <c r="E18" s="6" t="s">
        <v>72</v>
      </c>
      <c r="F18" s="38" t="b">
        <v>1</v>
      </c>
      <c r="G18" s="51" t="s">
        <v>119</v>
      </c>
      <c r="K18" s="25"/>
    </row>
    <row r="19" spans="1:11" ht="69" customHeight="1">
      <c r="A19" s="82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47" t="s">
        <v>120</v>
      </c>
      <c r="K19" s="25"/>
    </row>
    <row r="20" spans="1:11" ht="53.1" customHeight="1">
      <c r="A20" s="83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49" t="s">
        <v>121</v>
      </c>
      <c r="I20" s="23"/>
      <c r="K20" s="25"/>
    </row>
    <row r="21" spans="1:11" ht="53.1" customHeight="1">
      <c r="A21" s="84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49" t="s">
        <v>122</v>
      </c>
      <c r="I21" s="23"/>
      <c r="K21" s="25"/>
    </row>
    <row r="22" spans="1:11" ht="51.95" customHeight="1">
      <c r="A22" s="3" t="s">
        <v>2</v>
      </c>
      <c r="B22" s="88" t="s">
        <v>71</v>
      </c>
      <c r="C22" s="89"/>
      <c r="D22" s="89"/>
      <c r="E22" s="89"/>
      <c r="F22" s="89"/>
      <c r="G22" s="90"/>
      <c r="I22" s="23"/>
      <c r="K22" s="25"/>
    </row>
    <row r="23" spans="1:11">
      <c r="A23" s="3" t="s">
        <v>36</v>
      </c>
      <c r="B23" s="36">
        <v>19</v>
      </c>
      <c r="C23" s="85"/>
      <c r="D23" s="86"/>
      <c r="E23" s="86"/>
      <c r="F23" s="86"/>
      <c r="G23" s="87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2"/>
    <col min="5" max="6" width="15" style="12" customWidth="1"/>
    <col min="7" max="7" width="17" style="12" customWidth="1"/>
    <col min="8" max="8" width="21.375" style="12" customWidth="1"/>
    <col min="9" max="9" width="28.5" bestFit="1" customWidth="1"/>
  </cols>
  <sheetData>
    <row r="1" spans="1:10" ht="20.25">
      <c r="A1" s="94" t="s">
        <v>38</v>
      </c>
      <c r="B1" s="95"/>
      <c r="C1" s="95"/>
      <c r="D1" s="95"/>
      <c r="E1" s="95"/>
      <c r="F1" s="95"/>
      <c r="G1" s="95"/>
      <c r="H1" s="95"/>
      <c r="I1" s="95"/>
      <c r="J1" s="19"/>
    </row>
    <row r="2" spans="1:10">
      <c r="A2" s="96" t="s">
        <v>30</v>
      </c>
      <c r="B2" s="96"/>
      <c r="C2" s="96"/>
      <c r="D2" s="96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79" t="s">
        <v>35</v>
      </c>
      <c r="B3" s="79"/>
      <c r="C3" s="79"/>
      <c r="D3" s="79"/>
      <c r="E3" s="99" t="s">
        <v>42</v>
      </c>
      <c r="F3" s="100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79"/>
      <c r="B4" s="79"/>
      <c r="C4" s="79"/>
      <c r="D4" s="79"/>
      <c r="E4" s="99" t="s">
        <v>41</v>
      </c>
      <c r="F4" s="100"/>
      <c r="G4" s="39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79"/>
      <c r="B5" s="79"/>
      <c r="C5" s="79"/>
      <c r="D5" s="79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98" t="s">
        <v>37</v>
      </c>
      <c r="B6" s="98"/>
      <c r="C6" s="98"/>
      <c r="D6" s="98"/>
      <c r="E6" s="97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98"/>
      <c r="B7" s="98"/>
      <c r="C7" s="98"/>
      <c r="D7" s="98"/>
      <c r="E7" s="97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98"/>
      <c r="B8" s="98"/>
      <c r="C8" s="98"/>
      <c r="D8" s="98"/>
      <c r="E8" s="97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98"/>
      <c r="B9" s="98"/>
      <c r="C9" s="98"/>
      <c r="D9" s="98"/>
      <c r="E9" s="97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98"/>
      <c r="B10" s="98"/>
      <c r="C10" s="98"/>
      <c r="D10" s="98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93" t="s">
        <v>61</v>
      </c>
      <c r="B12" s="93"/>
      <c r="C12" s="93"/>
      <c r="D12" s="93"/>
      <c r="E12" s="93"/>
      <c r="F12" s="93"/>
      <c r="G12" s="93"/>
      <c r="H12" s="93"/>
      <c r="I12" s="93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26"/>
  <sheetViews>
    <sheetView tabSelected="1" topLeftCell="A18" zoomScale="85" zoomScaleNormal="85" workbookViewId="0">
      <selection activeCell="B25" sqref="B25:F25"/>
    </sheetView>
  </sheetViews>
  <sheetFormatPr defaultColWidth="8.875" defaultRowHeight="16.5"/>
  <cols>
    <col min="1" max="1" width="17.5" customWidth="1"/>
    <col min="2" max="2" width="14.375" customWidth="1"/>
    <col min="3" max="3" width="30.875" customWidth="1"/>
    <col min="4" max="4" width="25.5" customWidth="1"/>
    <col min="5" max="5" width="17.875" customWidth="1"/>
    <col min="6" max="6" width="18.625" customWidth="1"/>
    <col min="8" max="10" width="8.875" customWidth="1"/>
  </cols>
  <sheetData>
    <row r="1" spans="1:6" ht="32.25" customHeight="1">
      <c r="A1" s="67" t="s">
        <v>48</v>
      </c>
      <c r="B1" s="68"/>
      <c r="C1" s="68"/>
      <c r="D1" s="68"/>
      <c r="E1" s="68"/>
      <c r="F1" s="68"/>
    </row>
    <row r="2" spans="1:6">
      <c r="A2" s="69" t="s">
        <v>50</v>
      </c>
      <c r="B2" s="64" t="s">
        <v>123</v>
      </c>
      <c r="C2" s="69" t="s">
        <v>49</v>
      </c>
      <c r="D2" s="70" t="s">
        <v>124</v>
      </c>
      <c r="E2" s="72" t="s">
        <v>51</v>
      </c>
      <c r="F2" s="74">
        <v>46291</v>
      </c>
    </row>
    <row r="3" spans="1:6">
      <c r="A3" s="69"/>
      <c r="B3" s="64"/>
      <c r="C3" s="69"/>
      <c r="D3" s="71"/>
      <c r="E3" s="73"/>
      <c r="F3" s="71"/>
    </row>
    <row r="4" spans="1:6" ht="232.5" customHeight="1">
      <c r="A4" s="30" t="s">
        <v>52</v>
      </c>
      <c r="B4" s="63" t="s">
        <v>162</v>
      </c>
      <c r="C4" s="64"/>
      <c r="D4" s="64"/>
      <c r="E4" s="64"/>
      <c r="F4" s="64"/>
    </row>
    <row r="5" spans="1:6" ht="31.5" customHeight="1">
      <c r="A5" s="30" t="s">
        <v>53</v>
      </c>
      <c r="B5" s="62"/>
      <c r="C5" s="62"/>
      <c r="D5" s="62"/>
      <c r="E5" s="62"/>
      <c r="F5" s="62"/>
    </row>
    <row r="6" spans="1:6" ht="108" customHeight="1">
      <c r="A6" s="30" t="s">
        <v>2</v>
      </c>
      <c r="B6" s="65"/>
      <c r="C6" s="66"/>
      <c r="D6" s="66"/>
      <c r="E6" s="66"/>
      <c r="F6" s="66"/>
    </row>
    <row r="9" spans="1:6">
      <c r="C9" s="20"/>
    </row>
    <row r="10" spans="1:6" ht="24">
      <c r="A10" s="60" t="s">
        <v>153</v>
      </c>
      <c r="B10" s="60"/>
      <c r="C10" s="60"/>
      <c r="D10" s="60"/>
      <c r="E10" s="60"/>
    </row>
    <row r="11" spans="1:6">
      <c r="A11" s="56" t="s">
        <v>129</v>
      </c>
      <c r="B11" s="57" t="s">
        <v>130</v>
      </c>
      <c r="C11" s="57" t="s">
        <v>131</v>
      </c>
      <c r="D11" s="56" t="s">
        <v>125</v>
      </c>
      <c r="E11" s="58" t="s">
        <v>164</v>
      </c>
      <c r="F11" t="s">
        <v>163</v>
      </c>
    </row>
    <row r="12" spans="1:6" ht="49.5">
      <c r="A12" s="54" t="s">
        <v>132</v>
      </c>
      <c r="B12" s="53" t="s">
        <v>133</v>
      </c>
      <c r="C12" s="53" t="s">
        <v>134</v>
      </c>
      <c r="D12" s="54" t="s">
        <v>126</v>
      </c>
      <c r="E12" s="59" t="str">
        <f>HYPERLINK("https://github.com/admin-shell-io/submodel-templates/blob/935364b909a2d821528669f94b0629f0014274e4/published/Digital%20nameplate/3/0/1/IDTA%2002006-3-0-1_Template_Digital%20Nameplate.json","공식 JSON 보기")</f>
        <v>공식 JSON 보기</v>
      </c>
      <c r="F12" t="s">
        <v>163</v>
      </c>
    </row>
    <row r="13" spans="1:6" ht="49.5">
      <c r="A13" s="54" t="s">
        <v>135</v>
      </c>
      <c r="B13" s="53" t="s">
        <v>136</v>
      </c>
      <c r="C13" s="53" t="s">
        <v>165</v>
      </c>
      <c r="D13" s="54" t="s">
        <v>166</v>
      </c>
      <c r="E13" s="59" t="str">
        <f>HYPERLINK("https://github.com/admin-shell-io/submodel-templates/blob/935364b909a2d821528669f94b0629f0014274e4/published/Handover%20Documentation/2/0/1/IDTA%2002004-2-0-1_Template_HandoverDocumentation__forAASMetamodelV3.1.json","공식 JSON 보기")</f>
        <v>공식 JSON 보기</v>
      </c>
      <c r="F13" t="s">
        <v>163</v>
      </c>
    </row>
    <row r="14" spans="1:6" ht="49.5">
      <c r="A14" s="54" t="s">
        <v>137</v>
      </c>
      <c r="B14" s="53" t="s">
        <v>138</v>
      </c>
      <c r="C14" s="53" t="s">
        <v>139</v>
      </c>
      <c r="D14" s="54" t="s">
        <v>126</v>
      </c>
      <c r="E14" s="59" t="str">
        <f>HYPERLINK("https://github.com/admin-shell-io/submodel-templates/blob/935364b909a2d821528669f94b0629f0014274e4/published/Technical_Data/2/0/1/IDTA%2002003_2-0-1_Template_TechnicalData_forAASMetamodelV3.1.json","공식 JSON 보기")</f>
        <v>공식 JSON 보기</v>
      </c>
      <c r="F14" t="s">
        <v>163</v>
      </c>
    </row>
    <row r="15" spans="1:6" ht="66">
      <c r="A15" s="54" t="s">
        <v>140</v>
      </c>
      <c r="B15" s="53" t="s">
        <v>141</v>
      </c>
      <c r="C15" s="53" t="s">
        <v>142</v>
      </c>
      <c r="D15" s="54" t="s">
        <v>143</v>
      </c>
      <c r="E15" s="59" t="str">
        <f>HYPERLINK("https://github.com/admin-shell-io/submodel-templates/blob/935364b909a2d821528669f94b0629f0014274e4/published/Process%20Parameters%20Type/1/0/IDTA%2002031-1_Template_ProcessParameters_Type_forAASMetamodelV3.1.json","공식 JSON 보기")</f>
        <v>공식 JSON 보기</v>
      </c>
      <c r="F15" t="s">
        <v>163</v>
      </c>
    </row>
    <row r="16" spans="1:6" ht="49.5">
      <c r="A16" s="54" t="s">
        <v>144</v>
      </c>
      <c r="B16" s="53" t="s">
        <v>145</v>
      </c>
      <c r="C16" s="53" t="s">
        <v>146</v>
      </c>
      <c r="D16" s="54" t="s">
        <v>126</v>
      </c>
      <c r="E16" s="59" t="str">
        <f>HYPERLINK("https://github.com/admin-shell-io/submodel-templates/blob/935364b909a2d821528669f94b0629f0014274e4/published/Predictive%20Maintenance/1/0/IDTA%2002048_Template_PredictiveMaintenance_forAASMetamodelV3.1.json","공식 JSON 보기")</f>
        <v>공식 JSON 보기</v>
      </c>
      <c r="F16" t="s">
        <v>163</v>
      </c>
    </row>
    <row r="17" spans="1:6" ht="49.5">
      <c r="A17" s="54" t="s">
        <v>147</v>
      </c>
      <c r="B17" s="53" t="s">
        <v>148</v>
      </c>
      <c r="C17" s="53" t="s">
        <v>149</v>
      </c>
      <c r="D17" s="54" t="s">
        <v>126</v>
      </c>
      <c r="E17" s="59" t="str">
        <f>HYPERLINK("https://github.com/admin-shell-io/submodel-templates/blob/935364b909a2d821528669f94b0629f0014274e4/published/Time%20Series%20Data/1/1/1/IDTA%2002008-1-1-1_Template_TimeSeriesData_forAASMetamodelV3.1.json","공식 JSON 보기")</f>
        <v>공식 JSON 보기</v>
      </c>
      <c r="F17" t="s">
        <v>163</v>
      </c>
    </row>
    <row r="18" spans="1:6" ht="49.5">
      <c r="A18" s="54" t="s">
        <v>150</v>
      </c>
      <c r="B18" s="53" t="s">
        <v>151</v>
      </c>
      <c r="C18" s="53" t="s">
        <v>152</v>
      </c>
      <c r="D18" s="54" t="s">
        <v>126</v>
      </c>
      <c r="E18" s="59" t="str">
        <f>HYPERLINK("https://github.com/admin-shell-io/submodel-templates/blob/935364b909a2d821528669f94b0629f0014274e4/published/Process%20Variables%20for%20Manufacturing%20Key%20Performance%20Indicators/1/0/IDTA%2002066_Template_PVM.json","공식 JSON 보기")</f>
        <v>공식 JSON 보기</v>
      </c>
      <c r="F18" t="s">
        <v>163</v>
      </c>
    </row>
    <row r="20" spans="1:6">
      <c r="A20" s="56" t="s">
        <v>127</v>
      </c>
      <c r="B20" s="61" t="s">
        <v>154</v>
      </c>
      <c r="C20" s="61"/>
      <c r="D20" s="61"/>
      <c r="E20" s="61"/>
      <c r="F20" s="61"/>
    </row>
    <row r="21" spans="1:6">
      <c r="A21" s="55" t="s">
        <v>155</v>
      </c>
      <c r="B21" s="62" t="s">
        <v>156</v>
      </c>
      <c r="C21" s="62"/>
      <c r="D21" s="62"/>
      <c r="E21" s="62"/>
      <c r="F21" s="62"/>
    </row>
    <row r="22" spans="1:6" ht="36.950000000000003" customHeight="1">
      <c r="A22" s="55" t="s">
        <v>157</v>
      </c>
      <c r="B22" s="62" t="s">
        <v>158</v>
      </c>
      <c r="C22" s="62"/>
      <c r="D22" s="62"/>
      <c r="E22" s="62"/>
      <c r="F22" s="62"/>
    </row>
    <row r="23" spans="1:6" ht="42.95" customHeight="1">
      <c r="A23" s="55" t="s">
        <v>167</v>
      </c>
      <c r="B23" s="62" t="s">
        <v>168</v>
      </c>
      <c r="C23" s="62"/>
      <c r="D23" s="62"/>
      <c r="E23" s="62"/>
      <c r="F23" s="62"/>
    </row>
    <row r="24" spans="1:6" ht="41.1" customHeight="1">
      <c r="A24" s="55" t="s">
        <v>159</v>
      </c>
      <c r="B24" s="62" t="s">
        <v>169</v>
      </c>
      <c r="C24" s="62"/>
      <c r="D24" s="62"/>
      <c r="E24" s="62"/>
      <c r="F24" s="62"/>
    </row>
    <row r="25" spans="1:6" ht="30.95" customHeight="1">
      <c r="A25" s="55" t="s">
        <v>160</v>
      </c>
      <c r="B25" s="62" t="s">
        <v>170</v>
      </c>
      <c r="C25" s="62"/>
      <c r="D25" s="62"/>
      <c r="E25" s="62"/>
      <c r="F25" s="62"/>
    </row>
    <row r="26" spans="1:6" ht="42" customHeight="1">
      <c r="A26" s="55" t="s">
        <v>128</v>
      </c>
      <c r="B26" s="62" t="s">
        <v>161</v>
      </c>
      <c r="C26" s="62"/>
      <c r="D26" s="62"/>
      <c r="E26" s="62"/>
      <c r="F26" s="62"/>
    </row>
  </sheetData>
  <mergeCells count="18">
    <mergeCell ref="A1:F1"/>
    <mergeCell ref="A2:A3"/>
    <mergeCell ref="B2:B3"/>
    <mergeCell ref="C2:C3"/>
    <mergeCell ref="D2:D3"/>
    <mergeCell ref="E2:E3"/>
    <mergeCell ref="F2:F3"/>
    <mergeCell ref="B24:F24"/>
    <mergeCell ref="B25:F25"/>
    <mergeCell ref="B26:F26"/>
    <mergeCell ref="B5:F5"/>
    <mergeCell ref="B4:F4"/>
    <mergeCell ref="B6:F6"/>
    <mergeCell ref="A10:E10"/>
    <mergeCell ref="B20:F20"/>
    <mergeCell ref="B21:F21"/>
    <mergeCell ref="B22:F22"/>
    <mergeCell ref="B23:F2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2026-09-28T02:14:54Z</dcterms:modified>
</cp:coreProperties>
</file>