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AAS\Outputs\Month_02\바이오 분석용 로봇\"/>
    </mc:Choice>
  </mc:AlternateContent>
  <xr:revisionPtr revIDLastSave="0" documentId="13_ncr:1_{6AED408B-58FA-49BC-89B0-B64C23150EAE}" xr6:coauthVersionLast="47" xr6:coauthVersionMax="47" xr10:uidLastSave="{00000000-0000-0000-0000-000000000000}"/>
  <bookViews>
    <workbookView xWindow="-120" yWindow="-120" windowWidth="29040" windowHeight="15720" xr2:uid="{5D672DD9-5B8D-4463-AED7-35C87E05FECA}"/>
  </bookViews>
  <sheets>
    <sheet name="AAS Model Checklist" sheetId="2" r:id="rId1"/>
    <sheet name="AAS Model Checklist Resul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sharedStrings.xml><?xml version="1.0" encoding="utf-8"?>
<sst xmlns="http://schemas.openxmlformats.org/spreadsheetml/2006/main" count="125" uniqueCount="98">
  <si>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</si>
  <si>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</si>
  <si>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</si>
  <si>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</si>
  <si>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</si>
  <si>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</si>
  <si>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</si>
  <si>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</si>
  <si>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</si>
  <si>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</si>
  <si>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</si>
  <si>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</si>
  <si>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</si>
  <si>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옵션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</si>
  <si>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</si>
  <si>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</si>
  <si>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</si>
  <si>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</si>
  <si>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</si>
  <si>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</si>
  <si>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</si>
  <si>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</si>
  <si>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</si>
  <si>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</si>
  <si>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</si>
  <si>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</si>
  <si>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</si>
  <si>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</si>
  <si>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</si>
  <si>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</si>
  <si>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</si>
  <si>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</si>
  <si>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</si>
  <si>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</si>
  <si>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</si>
  <si>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</si>
  <si>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</si>
  <si>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</si>
  <si>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</si>
  <si>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</si>
  <si>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</si>
  <si>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</si>
  <si>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</si>
  <si>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</si>
  <si>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</si>
  <si>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</si>
  <si>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</si>
  <si>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</si>
  <si>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</si>
  <si>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</si>
  <si>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</si>
  <si>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</si>
  <si>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</si>
  <si>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</si>
  <si>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</si>
  <si>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</si>
  <si>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</si>
  <si>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</si>
  <si>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</si>
  <si>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</si>
  <si>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</si>
  <si>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</si>
  <si>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</si>
  <si>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</si>
  <si>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</si>
  <si>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</si>
  <si>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</si>
  <si>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</si>
  <si>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</si>
  <si>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</si>
  <si>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</si>
  <si>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</si>
  <si>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</si>
  <si>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</si>
  <si>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</si>
  <si>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</si>
  <si>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</si>
  <si>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</si>
  <si>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</si>
  <si>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t>AASX에 Thumbnail 이미지가 포함되어 있으며, defaultThumbnail에도 동일 경로가 설정되어 있음을 확인함.</t>
    <phoneticPr fontId="2" type="noConversion"/>
  </si>
  <si>
    <t>필수 대상에 idShort가 설정되어 있으며, SML 직접 하위 요소는 허용 기준에 따라 생략됨.</t>
    <phoneticPr fontId="2" type="noConversion"/>
  </si>
  <si>
    <t>idShort가 공백이나 부적절한 특수문자 없이 일관된 영문 명명규칙을 준수함.</t>
    <phoneticPr fontId="2" type="noConversion"/>
  </si>
  <si>
    <t>AAS ID가 BioanalysisRobotAAS/1/0 형식의 IRI로 작성되었으며, administration 정보와 일치함.</t>
    <phoneticPr fontId="2" type="noConversion"/>
  </si>
  <si>
    <t>Nameplate, HandoverDocumentation, TechnicalData, OperationalData를 포함한 총 8종의 Submodel로 구성됨.</t>
    <phoneticPr fontId="2" type="noConversion"/>
  </si>
  <si>
    <t>장비를 식별할 수 있는 globalAssetId가 IRI 형식으로 설정되어 있음.</t>
    <phoneticPr fontId="2" type="noConversion"/>
  </si>
  <si>
    <t>AssetInformation의 assetKind가 Type으로 설정되어 있음.</t>
    <phoneticPr fontId="2" type="noConversion"/>
  </si>
  <si>
    <t>적용된 표준 Submodel의 버전 표기가 각 ID 및 semanticId의 버전 정보와 일치함.</t>
    <phoneticPr fontId="2" type="noConversion"/>
  </si>
  <si>
    <t>모든 Submodel ID가 AAS명, Submodel명 및 버전을 포함한 지정 IRI 형식으로 작성됨.</t>
    <phoneticPr fontId="2" type="noConversion"/>
  </si>
  <si>
    <t>모든 Submodel에 semanticId가 설정되어 있으며, 표준 및 자체 정의 모델에 적합한 식별자를 적용함.</t>
    <phoneticPr fontId="2" type="noConversion"/>
  </si>
  <si>
    <t>전체 Submodel의 kind가 Template으로 설정되어 있음.</t>
    <phoneticPr fontId="2" type="noConversion"/>
  </si>
  <si>
    <t>TechnicalData, OperationalData 등 장비 특화 항목이 목적별 SMC 및 SML 계층 구조로 구성됨.</t>
    <phoneticPr fontId="2" type="noConversion"/>
  </si>
  <si>
    <t>Operation, BasicEventElement 및 Capability 요소가 사용되지 않았음을 확인함.</t>
    <phoneticPr fontId="2" type="noConversion"/>
  </si>
  <si>
    <t>모든 SME에 semanticId가 설정되어 ConceptDescription 또는 표준 의미 식별자와 연결됨.</t>
    <phoneticPr fontId="2" type="noConversion"/>
  </si>
  <si>
    <t>검토 대상 Property에 장비 개발계획서를 반영한 예시 데이터가 누락 없이 입력됨.</t>
    <phoneticPr fontId="2" type="noConversion"/>
  </si>
  <si>
    <t>Property의 valueType이 연결된 ConceptDescription의 dataType과 일치하도록 설정됨.</t>
    <phoneticPr fontId="2" type="noConversion"/>
  </si>
  <si>
    <t>ConceptDescription ID가 출처에 따라 IRI 또는 IRDI 형식으로 구성됨.</t>
    <phoneticPr fontId="2" type="noConversion"/>
  </si>
  <si>
    <t>전체 ConceptDescription에 definition 또는 description이 작성되어 있음.</t>
    <phoneticPr fontId="2" type="noConversion"/>
  </si>
  <si>
    <t>dataType이 정의된 ConceptDescription에는 해당 값이 설정되어 있으며, 표준 미정의 항목은 예외 기준을 적용함.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</si>
</sst>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Arial Unicode MS"/>
      <family val="3"/>
      <charset val="129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66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6" fillId="0" borderId="2" xfId="0" applyFont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6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topLeftCell="A6" zoomScale="70" zoomScaleNormal="70" workbookViewId="0">
      <selection activeCell="I10" sqref="I10"/>
    </sheetView>
  </sheetViews>
  <sheetFormatPr defaultColWidth="8.875" defaultRowHeight="16.5"/>
  <cols>
    <col min="1" max="1" width="17.5" style="11" bestFit="1" customWidth="1"/>
    <col min="2" max="2" width="4.5" style="11" bestFit="1" customWidth="1"/>
    <col min="3" max="3" width="6.375" style="11" bestFit="1" customWidth="1"/>
    <col min="4" max="4" width="26.5" style="11" bestFit="1" customWidth="1"/>
    <col min="5" max="5" width="71.375" style="11" customWidth="1"/>
    <col min="6" max="6" width="10" style="11" customWidth="1"/>
    <col min="7" max="7" width="93" style="27" bestFit="1" customWidth="1"/>
    <col min="8" max="8" width="24" customWidth="1"/>
    <col min="9" max="9" width="107.375" style="18" customWidth="1"/>
    <col min="10" max="10" width="13" style="20" customWidth="1"/>
    <col min="11" max="11" width="39.5" customWidth="1"/>
  </cols>
  <sheetData>
    <row r="1" spans="1:11" ht="20.25">
      <c r="A1" s="46" t="s">
        <v>65</v>
      </c>
      <c r="B1" s="47"/>
      <c r="C1" s="47"/>
      <c r="D1" s="47"/>
      <c r="E1" s="47"/>
      <c r="F1" s="47"/>
      <c r="G1" s="48"/>
      <c r="I1" s="25"/>
      <c r="K1" s="20"/>
    </row>
    <row r="2" spans="1:11">
      <c r="A2" s="1" t="s">
        <v>2</v>
      </c>
      <c r="B2" s="1" t="s">
        <v>3</v>
      </c>
      <c r="C2" s="1" t="s">
        <v>4</v>
      </c>
      <c r="D2" s="1" t="s">
        <v>5</v>
      </c>
      <c r="E2" s="2" t="s">
        <v>0</v>
      </c>
      <c r="F2" s="2" t="s">
        <v>6</v>
      </c>
      <c r="G2" s="2" t="s">
        <v>44</v>
      </c>
      <c r="K2" s="21"/>
    </row>
    <row r="3" spans="1:11" ht="27">
      <c r="A3" s="3" t="s">
        <v>7</v>
      </c>
      <c r="B3" s="4">
        <v>1</v>
      </c>
      <c r="C3" s="4" t="s">
        <v>8</v>
      </c>
      <c r="D3" s="4" t="s">
        <v>9</v>
      </c>
      <c r="E3" s="42" t="s">
        <v>69</v>
      </c>
      <c r="F3" s="15" t="b">
        <v>1</v>
      </c>
      <c r="G3" s="31" t="s">
        <v>79</v>
      </c>
      <c r="K3" s="21"/>
    </row>
    <row r="4" spans="1:11" ht="24" customHeight="1">
      <c r="A4" s="49" t="s">
        <v>58</v>
      </c>
      <c r="B4" s="7">
        <v>2</v>
      </c>
      <c r="C4" s="7" t="s">
        <v>8</v>
      </c>
      <c r="D4" s="7" t="s">
        <v>10</v>
      </c>
      <c r="E4" s="40" t="s">
        <v>11</v>
      </c>
      <c r="F4" s="15" t="b">
        <v>1</v>
      </c>
      <c r="G4" s="31" t="s">
        <v>80</v>
      </c>
      <c r="K4" s="21"/>
    </row>
    <row r="5" spans="1:11" ht="67.5">
      <c r="A5" s="51"/>
      <c r="B5" s="7">
        <v>3</v>
      </c>
      <c r="C5" s="7" t="s">
        <v>8</v>
      </c>
      <c r="D5" s="7" t="s">
        <v>41</v>
      </c>
      <c r="E5" s="40" t="s">
        <v>73</v>
      </c>
      <c r="F5" s="15" t="b">
        <v>1</v>
      </c>
      <c r="G5" s="31" t="s">
        <v>81</v>
      </c>
      <c r="K5" s="21"/>
    </row>
    <row r="6" spans="1:11" ht="54">
      <c r="A6" s="49" t="s">
        <v>45</v>
      </c>
      <c r="B6" s="4">
        <v>4</v>
      </c>
      <c r="C6" s="4" t="s">
        <v>8</v>
      </c>
      <c r="D6" s="4" t="s">
        <v>12</v>
      </c>
      <c r="E6" s="6" t="s">
        <v>74</v>
      </c>
      <c r="F6" s="15" t="b">
        <v>1</v>
      </c>
      <c r="G6" s="26" t="s">
        <v>82</v>
      </c>
      <c r="K6" s="21"/>
    </row>
    <row r="7" spans="1:11" ht="54">
      <c r="A7" s="50"/>
      <c r="B7" s="5">
        <v>5</v>
      </c>
      <c r="C7" s="4" t="s">
        <v>8</v>
      </c>
      <c r="D7" s="4" t="s">
        <v>14</v>
      </c>
      <c r="E7" s="6" t="s">
        <v>70</v>
      </c>
      <c r="F7" s="15" t="b">
        <v>1</v>
      </c>
      <c r="G7" s="32" t="s">
        <v>83</v>
      </c>
      <c r="K7" s="21"/>
    </row>
    <row r="8" spans="1:11" ht="24.95" customHeight="1">
      <c r="A8" s="50"/>
      <c r="B8" s="4">
        <v>6</v>
      </c>
      <c r="C8" s="4" t="s">
        <v>13</v>
      </c>
      <c r="D8" s="4" t="s">
        <v>15</v>
      </c>
      <c r="E8" s="6" t="s">
        <v>16</v>
      </c>
      <c r="F8" s="15" t="b">
        <v>1</v>
      </c>
      <c r="G8" s="32" t="s">
        <v>84</v>
      </c>
      <c r="K8" s="21"/>
    </row>
    <row r="9" spans="1:11" ht="24.95" customHeight="1">
      <c r="A9" s="51"/>
      <c r="B9" s="4">
        <v>7</v>
      </c>
      <c r="C9" s="4" t="s">
        <v>8</v>
      </c>
      <c r="D9" s="4" t="s">
        <v>17</v>
      </c>
      <c r="E9" s="26" t="s">
        <v>42</v>
      </c>
      <c r="F9" s="16" t="b">
        <v>1</v>
      </c>
      <c r="G9" s="32" t="s">
        <v>85</v>
      </c>
      <c r="K9" s="21"/>
    </row>
    <row r="10" spans="1:11" ht="33.950000000000003" customHeight="1">
      <c r="A10" s="49" t="s">
        <v>18</v>
      </c>
      <c r="B10" s="7">
        <v>8</v>
      </c>
      <c r="C10" s="7" t="s">
        <v>8</v>
      </c>
      <c r="D10" s="7" t="s">
        <v>59</v>
      </c>
      <c r="E10" s="41" t="s">
        <v>60</v>
      </c>
      <c r="F10" s="16" t="b">
        <v>1</v>
      </c>
      <c r="G10" s="32" t="s">
        <v>86</v>
      </c>
      <c r="K10" s="21"/>
    </row>
    <row r="11" spans="1:11" ht="54">
      <c r="A11" s="50"/>
      <c r="B11" s="4">
        <v>9</v>
      </c>
      <c r="C11" s="4" t="s">
        <v>8</v>
      </c>
      <c r="D11" s="4" t="s">
        <v>12</v>
      </c>
      <c r="E11" s="6" t="s">
        <v>74</v>
      </c>
      <c r="F11" s="15" t="b">
        <v>1</v>
      </c>
      <c r="G11" s="32" t="s">
        <v>87</v>
      </c>
      <c r="K11" s="23"/>
    </row>
    <row r="12" spans="1:11" ht="27">
      <c r="A12" s="50"/>
      <c r="B12" s="5">
        <v>10</v>
      </c>
      <c r="C12" s="4" t="s">
        <v>8</v>
      </c>
      <c r="D12" s="4" t="s">
        <v>19</v>
      </c>
      <c r="E12" s="6" t="s">
        <v>40</v>
      </c>
      <c r="F12" s="15" t="b">
        <v>1</v>
      </c>
      <c r="G12" s="32" t="s">
        <v>88</v>
      </c>
      <c r="I12" s="19"/>
      <c r="J12" s="24"/>
      <c r="K12" s="21"/>
    </row>
    <row r="13" spans="1:11" ht="24.95" customHeight="1">
      <c r="A13" s="50"/>
      <c r="B13" s="4">
        <v>11</v>
      </c>
      <c r="C13" s="4" t="s">
        <v>8</v>
      </c>
      <c r="D13" s="4" t="s">
        <v>20</v>
      </c>
      <c r="E13" s="26" t="s">
        <v>43</v>
      </c>
      <c r="F13" s="16" t="b">
        <v>1</v>
      </c>
      <c r="G13" s="33" t="s">
        <v>89</v>
      </c>
      <c r="K13" s="21"/>
    </row>
    <row r="14" spans="1:11" ht="129.94999999999999" customHeight="1">
      <c r="A14" s="51"/>
      <c r="B14" s="7">
        <v>12</v>
      </c>
      <c r="C14" s="7" t="s">
        <v>13</v>
      </c>
      <c r="D14" s="7" t="s">
        <v>61</v>
      </c>
      <c r="E14" s="41" t="s">
        <v>75</v>
      </c>
      <c r="F14" s="16" t="b">
        <v>1</v>
      </c>
      <c r="G14" s="33" t="s">
        <v>90</v>
      </c>
      <c r="K14" s="21"/>
    </row>
    <row r="15" spans="1:11" ht="27">
      <c r="A15" s="55" t="s">
        <v>66</v>
      </c>
      <c r="B15" s="7">
        <v>13</v>
      </c>
      <c r="C15" s="7" t="s">
        <v>13</v>
      </c>
      <c r="D15" s="39" t="s">
        <v>64</v>
      </c>
      <c r="E15" s="40" t="s">
        <v>76</v>
      </c>
      <c r="F15" s="16" t="b">
        <v>1</v>
      </c>
      <c r="G15" s="33" t="s">
        <v>91</v>
      </c>
      <c r="K15" s="21"/>
    </row>
    <row r="16" spans="1:11" ht="26.1" customHeight="1">
      <c r="A16" s="56"/>
      <c r="B16" s="4">
        <v>14</v>
      </c>
      <c r="C16" s="4" t="s">
        <v>8</v>
      </c>
      <c r="D16" s="4" t="s">
        <v>62</v>
      </c>
      <c r="E16" s="6" t="s">
        <v>68</v>
      </c>
      <c r="F16" s="16" t="b">
        <v>1</v>
      </c>
      <c r="G16" s="33" t="s">
        <v>92</v>
      </c>
      <c r="K16" s="21"/>
    </row>
    <row r="17" spans="1:11" ht="53.1" customHeight="1">
      <c r="A17" s="55" t="s">
        <v>67</v>
      </c>
      <c r="B17" s="7">
        <v>15</v>
      </c>
      <c r="C17" s="7" t="s">
        <v>8</v>
      </c>
      <c r="D17" s="7" t="s">
        <v>21</v>
      </c>
      <c r="E17" s="40" t="s">
        <v>77</v>
      </c>
      <c r="F17" s="15" t="b">
        <v>1</v>
      </c>
      <c r="G17" s="34" t="s">
        <v>93</v>
      </c>
      <c r="K17" s="21"/>
    </row>
    <row r="18" spans="1:11" ht="36.950000000000003" customHeight="1">
      <c r="A18" s="56"/>
      <c r="B18" s="5">
        <v>16</v>
      </c>
      <c r="C18" s="4" t="s">
        <v>8</v>
      </c>
      <c r="D18" s="8" t="s">
        <v>63</v>
      </c>
      <c r="E18" s="6" t="s">
        <v>56</v>
      </c>
      <c r="F18" s="36" t="b">
        <v>1</v>
      </c>
      <c r="G18" s="38" t="s">
        <v>94</v>
      </c>
      <c r="K18" s="21"/>
    </row>
    <row r="19" spans="1:11" ht="69" customHeight="1">
      <c r="A19" s="49" t="s">
        <v>22</v>
      </c>
      <c r="B19" s="5">
        <v>17</v>
      </c>
      <c r="C19" s="4" t="s">
        <v>8</v>
      </c>
      <c r="D19" s="4" t="s">
        <v>12</v>
      </c>
      <c r="E19" s="6" t="s">
        <v>72</v>
      </c>
      <c r="F19" s="15" t="b">
        <v>1</v>
      </c>
      <c r="G19" s="26" t="s">
        <v>95</v>
      </c>
      <c r="K19" s="21"/>
    </row>
    <row r="20" spans="1:11" ht="53.1" customHeight="1">
      <c r="A20" s="50"/>
      <c r="B20" s="4">
        <v>18</v>
      </c>
      <c r="C20" s="8" t="s">
        <v>8</v>
      </c>
      <c r="D20" s="4" t="s">
        <v>39</v>
      </c>
      <c r="E20" s="6" t="s">
        <v>71</v>
      </c>
      <c r="F20" s="15" t="b">
        <v>1</v>
      </c>
      <c r="G20" s="33" t="s">
        <v>96</v>
      </c>
      <c r="I20" s="19"/>
      <c r="K20" s="21"/>
    </row>
    <row r="21" spans="1:11" ht="53.1" customHeight="1">
      <c r="A21" s="51"/>
      <c r="B21" s="5">
        <v>19</v>
      </c>
      <c r="C21" s="8" t="s">
        <v>8</v>
      </c>
      <c r="D21" s="4" t="s">
        <v>57</v>
      </c>
      <c r="E21" s="6" t="s">
        <v>78</v>
      </c>
      <c r="F21" s="15" t="b">
        <v>1</v>
      </c>
      <c r="G21" s="33" t="s">
        <v>97</v>
      </c>
      <c r="I21" s="19"/>
      <c r="K21" s="21"/>
    </row>
    <row r="22" spans="1:11" ht="51.95" customHeight="1">
      <c r="A22" s="3" t="s">
        <v>1</v>
      </c>
      <c r="B22" s="52" t="s">
        <v>55</v>
      </c>
      <c r="C22" s="53"/>
      <c r="D22" s="53"/>
      <c r="E22" s="53"/>
      <c r="F22" s="53"/>
      <c r="G22" s="54"/>
      <c r="I22" s="19"/>
      <c r="K22" s="21"/>
    </row>
    <row r="23" spans="1:11">
      <c r="A23" s="3" t="s">
        <v>30</v>
      </c>
      <c r="B23" s="35">
        <v>19</v>
      </c>
      <c r="C23" s="43"/>
      <c r="D23" s="44"/>
      <c r="E23" s="44"/>
      <c r="F23" s="44"/>
      <c r="G23" s="45"/>
      <c r="K23" s="21"/>
    </row>
    <row r="24" spans="1:11">
      <c r="B24" s="11" t="s">
        <v>54</v>
      </c>
      <c r="K24" s="21"/>
    </row>
    <row r="25" spans="1:11">
      <c r="K25" s="21"/>
    </row>
    <row r="26" spans="1:11">
      <c r="K26" s="22"/>
    </row>
    <row r="29" spans="1:11">
      <c r="H29" s="11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75" defaultRowHeight="16.5"/>
  <cols>
    <col min="1" max="4" width="9" style="10"/>
    <col min="5" max="6" width="15" style="10" customWidth="1"/>
    <col min="7" max="7" width="17" style="10" customWidth="1"/>
    <col min="8" max="8" width="21.375" style="10" customWidth="1"/>
    <col min="9" max="9" width="28.5" bestFit="1" customWidth="1"/>
  </cols>
  <sheetData>
    <row r="1" spans="1:10" ht="20.25">
      <c r="A1" s="58" t="s">
        <v>32</v>
      </c>
      <c r="B1" s="59"/>
      <c r="C1" s="59"/>
      <c r="D1" s="59"/>
      <c r="E1" s="59"/>
      <c r="F1" s="59"/>
      <c r="G1" s="59"/>
      <c r="H1" s="59"/>
      <c r="I1" s="59"/>
      <c r="J1" s="17"/>
    </row>
    <row r="2" spans="1:10">
      <c r="A2" s="60" t="s">
        <v>24</v>
      </c>
      <c r="B2" s="60"/>
      <c r="C2" s="60"/>
      <c r="D2" s="60"/>
      <c r="E2" s="1" t="s">
        <v>25</v>
      </c>
      <c r="F2" s="2" t="s">
        <v>26</v>
      </c>
      <c r="G2" s="1" t="s">
        <v>27</v>
      </c>
      <c r="H2" s="1" t="s">
        <v>28</v>
      </c>
      <c r="I2" s="1" t="s">
        <v>1</v>
      </c>
    </row>
    <row r="3" spans="1:10">
      <c r="A3" s="62" t="s">
        <v>29</v>
      </c>
      <c r="B3" s="62"/>
      <c r="C3" s="62"/>
      <c r="D3" s="62"/>
      <c r="E3" s="64" t="s">
        <v>34</v>
      </c>
      <c r="F3" s="65"/>
      <c r="G3" s="9">
        <f>COUNTIF('AAS Model Checklist'!F3:F21, TRUE)</f>
        <v>19</v>
      </c>
      <c r="H3" s="9">
        <f>ROUND(G3/G5, 3) * 100</f>
        <v>100</v>
      </c>
      <c r="I3" s="29" t="s">
        <v>48</v>
      </c>
    </row>
    <row r="4" spans="1:10">
      <c r="A4" s="62"/>
      <c r="B4" s="62"/>
      <c r="C4" s="62"/>
      <c r="D4" s="62"/>
      <c r="E4" s="64" t="s">
        <v>33</v>
      </c>
      <c r="F4" s="65"/>
      <c r="G4" s="37">
        <f>'AAS Model Checklist'!B23 - G3</f>
        <v>0</v>
      </c>
      <c r="H4" s="9">
        <f>ROUND(G4/G5, 3) * 100</f>
        <v>0</v>
      </c>
      <c r="I4" s="29" t="s">
        <v>47</v>
      </c>
    </row>
    <row r="5" spans="1:10">
      <c r="A5" s="62"/>
      <c r="B5" s="62"/>
      <c r="C5" s="62"/>
      <c r="D5" s="62"/>
      <c r="E5" s="12" t="s">
        <v>30</v>
      </c>
      <c r="F5" s="13" t="s">
        <v>23</v>
      </c>
      <c r="G5" s="12">
        <f>SUM(G3:G4)</f>
        <v>19</v>
      </c>
      <c r="H5" s="12">
        <f>SUM(H3:H4)</f>
        <v>100</v>
      </c>
      <c r="I5" s="30" t="s">
        <v>53</v>
      </c>
    </row>
    <row r="6" spans="1:10">
      <c r="A6" s="63" t="s">
        <v>31</v>
      </c>
      <c r="B6" s="63"/>
      <c r="C6" s="63"/>
      <c r="D6" s="63"/>
      <c r="E6" s="61" t="s">
        <v>8</v>
      </c>
      <c r="F6" s="9" t="s">
        <v>35</v>
      </c>
      <c r="G6" s="9">
        <f>COUNTIFS('AAS Model Checklist'!C3:C21, "필수", 'AAS Model Checklist'!F3:F21, TRUE)</f>
        <v>16</v>
      </c>
      <c r="H6" s="9">
        <f>ROUND(G6/G10, 3) * 100</f>
        <v>84.2</v>
      </c>
      <c r="I6" s="29" t="s">
        <v>49</v>
      </c>
    </row>
    <row r="7" spans="1:10">
      <c r="A7" s="63"/>
      <c r="B7" s="63"/>
      <c r="C7" s="63"/>
      <c r="D7" s="63"/>
      <c r="E7" s="61"/>
      <c r="F7" s="9" t="s">
        <v>36</v>
      </c>
      <c r="G7" s="9">
        <f>COUNTIFS('AAS Model Checklist'!C3:C21, "필수", 'AAS Model Checklist'!F3:F21, FALSE)</f>
        <v>0</v>
      </c>
      <c r="H7" s="9">
        <f>ROUND(G7/G10, 3) * 100</f>
        <v>0</v>
      </c>
      <c r="I7" s="29" t="s">
        <v>50</v>
      </c>
    </row>
    <row r="8" spans="1:10">
      <c r="A8" s="63"/>
      <c r="B8" s="63"/>
      <c r="C8" s="63"/>
      <c r="D8" s="63"/>
      <c r="E8" s="61" t="s">
        <v>13</v>
      </c>
      <c r="F8" s="9" t="s">
        <v>37</v>
      </c>
      <c r="G8" s="9">
        <f>COUNTIFS('AAS Model Checklist'!C3:C21, "옵션", 'AAS Model Checklist'!F3:F21, TRUE)</f>
        <v>3</v>
      </c>
      <c r="H8" s="9">
        <f>ROUND(G8/G10, 3) * 100</f>
        <v>15.8</v>
      </c>
      <c r="I8" s="29" t="s">
        <v>51</v>
      </c>
    </row>
    <row r="9" spans="1:10">
      <c r="A9" s="63"/>
      <c r="B9" s="63"/>
      <c r="C9" s="63"/>
      <c r="D9" s="63"/>
      <c r="E9" s="61"/>
      <c r="F9" s="9" t="s">
        <v>38</v>
      </c>
      <c r="G9" s="9">
        <f>COUNTIFS('AAS Model Checklist'!C3:C21, "옵션", 'AAS Model Checklist'!F3:F21, FALSE)</f>
        <v>0</v>
      </c>
      <c r="H9" s="9">
        <f>ROUND(G9/G10, 3) * 100</f>
        <v>0</v>
      </c>
      <c r="I9" s="29" t="s">
        <v>52</v>
      </c>
    </row>
    <row r="10" spans="1:10">
      <c r="A10" s="63"/>
      <c r="B10" s="63"/>
      <c r="C10" s="63"/>
      <c r="D10" s="63"/>
      <c r="E10" s="12" t="s">
        <v>30</v>
      </c>
      <c r="F10" s="14" t="s">
        <v>23</v>
      </c>
      <c r="G10" s="12">
        <f>SUM(G6:G9)</f>
        <v>19</v>
      </c>
      <c r="H10" s="12">
        <f>SUM(H6:H9)</f>
        <v>100</v>
      </c>
      <c r="I10" s="30" t="s">
        <v>53</v>
      </c>
    </row>
    <row r="12" spans="1:10">
      <c r="A12" s="57" t="s">
        <v>46</v>
      </c>
      <c r="B12" s="57"/>
      <c r="C12" s="57"/>
      <c r="D12" s="57"/>
      <c r="E12" s="57"/>
      <c r="F12" s="57"/>
      <c r="G12" s="57"/>
      <c r="H12" s="57"/>
      <c r="I12" s="57"/>
    </row>
    <row r="13" spans="1:10">
      <c r="B13" s="28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AAS Model Checklist</vt:lpstr>
      <vt:lpstr>AAS Model Checklist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익제 김</cp:lastModifiedBy>
  <cp:lastPrinted>2025-02-14T07:07:43Z</cp:lastPrinted>
  <dcterms:created xsi:type="dcterms:W3CDTF">2025-02-14T06:46:23Z</dcterms:created>
  <dcterms:modified xsi:type="dcterms:W3CDTF">2026-09-18T10:30:02Z</dcterms:modified>
</cp:coreProperties>
</file>