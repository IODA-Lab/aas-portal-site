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user\AAS\Outputs\Month_02\FPD 반송 로봇\"/>
    </mc:Choice>
  </mc:AlternateContent>
  <xr:revisionPtr revIDLastSave="0" documentId="13_ncr:1_{CC63BB56-B347-461E-950F-8D0B013436BF}" xr6:coauthVersionLast="47" xr6:coauthVersionMax="47" xr10:uidLastSave="{00000000-0000-0000-0000-000000000000}"/>
  <bookViews>
    <workbookView xWindow="-120" yWindow="-120" windowWidth="29040" windowHeight="15720" xr2:uid="{5D672DD9-5B8D-4463-AED7-35C87E05FECA}"/>
  </bookViews>
  <sheets>
    <sheet name="AAS Model Checklist" sheetId="2" r:id="rId1"/>
    <sheet name="AAS Model Checklist Resul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8" i="3"/>
  <c r="G7" i="3"/>
  <c r="G6" i="3"/>
  <c r="G3" i="3"/>
  <c r="G4" i="3" s="1"/>
  <c r="G5" i="3" l="1"/>
  <c r="G10" i="3"/>
  <c r="H4" i="3" l="1"/>
  <c r="H3" i="3"/>
  <c r="H8" i="3"/>
  <c r="H9" i="3"/>
  <c r="H6" i="3"/>
  <c r="H7" i="3"/>
  <c r="H5" i="3" l="1"/>
  <c r="H10" i="3"/>
</calcChain>
</file>

<file path=xl/sharedStrings.xml><?xml version="1.0" encoding="utf-8"?>
<sst xmlns="http://schemas.openxmlformats.org/spreadsheetml/2006/main" count="125" uniqueCount="98">
  <si>
    <t>설명</t>
    <phoneticPr fontId="2" type="noConversion"/>
  </si>
  <si>
    <t>비고</t>
    <phoneticPr fontId="2" type="noConversion"/>
  </si>
  <si>
    <t>분류(대상)</t>
    <phoneticPr fontId="2" type="noConversion"/>
  </si>
  <si>
    <t>번호</t>
    <phoneticPr fontId="2" type="noConversion"/>
  </si>
  <si>
    <t>중요도</t>
    <phoneticPr fontId="2" type="noConversion"/>
  </si>
  <si>
    <t>체크사항</t>
    <phoneticPr fontId="2" type="noConversion"/>
  </si>
  <si>
    <t>체크</t>
    <phoneticPr fontId="2" type="noConversion"/>
  </si>
  <si>
    <t>기본사항</t>
    <phoneticPr fontId="2" type="noConversion"/>
  </si>
  <si>
    <t>필수</t>
    <phoneticPr fontId="2" type="noConversion"/>
  </si>
  <si>
    <t>Thumnail</t>
    <phoneticPr fontId="2" type="noConversion"/>
  </si>
  <si>
    <t>idShort 설정여부</t>
    <phoneticPr fontId="2" type="noConversion"/>
  </si>
  <si>
    <t>idShort가 설정되어 있는지 확인한다.</t>
    <phoneticPr fontId="2" type="noConversion"/>
  </si>
  <si>
    <t>Id</t>
    <phoneticPr fontId="2" type="noConversion"/>
  </si>
  <si>
    <t>옵션</t>
    <phoneticPr fontId="2" type="noConversion"/>
  </si>
  <si>
    <t>Submodel 구성</t>
    <phoneticPr fontId="2" type="noConversion"/>
  </si>
  <si>
    <t>globalAssetId 여부</t>
    <phoneticPr fontId="2" type="noConversion"/>
  </si>
  <si>
    <t>globalAssetId가 설정되어 있는지 확인한다.</t>
    <phoneticPr fontId="2" type="noConversion"/>
  </si>
  <si>
    <t>Type종류</t>
    <phoneticPr fontId="2" type="noConversion"/>
  </si>
  <si>
    <t>Submodel</t>
    <phoneticPr fontId="2" type="noConversion"/>
  </si>
  <si>
    <t>Semantic ID</t>
    <phoneticPr fontId="2" type="noConversion"/>
  </si>
  <si>
    <t>kind</t>
    <phoneticPr fontId="2" type="noConversion"/>
  </si>
  <si>
    <t>value 값 여부</t>
    <phoneticPr fontId="2" type="noConversion"/>
  </si>
  <si>
    <t>ConceptDescription</t>
    <phoneticPr fontId="2" type="noConversion"/>
  </si>
  <si>
    <t>-</t>
    <phoneticPr fontId="2" type="noConversion"/>
  </si>
  <si>
    <t>분류</t>
    <phoneticPr fontId="2" type="noConversion"/>
  </si>
  <si>
    <t>기준항목</t>
    <phoneticPr fontId="2" type="noConversion"/>
  </si>
  <si>
    <t>세부항목</t>
    <phoneticPr fontId="2" type="noConversion"/>
  </si>
  <si>
    <t>개수</t>
    <phoneticPr fontId="2" type="noConversion"/>
  </si>
  <si>
    <t>%</t>
    <phoneticPr fontId="2" type="noConversion"/>
  </si>
  <si>
    <t>단순통계</t>
    <phoneticPr fontId="2" type="noConversion"/>
  </si>
  <si>
    <t>합계</t>
    <phoneticPr fontId="2" type="noConversion"/>
  </si>
  <si>
    <t>'중요도'기준 통계</t>
    <phoneticPr fontId="2" type="noConversion"/>
  </si>
  <si>
    <t>AAS Model Checklist Result</t>
    <phoneticPr fontId="2" type="noConversion"/>
  </si>
  <si>
    <t></t>
    <phoneticPr fontId="2" type="noConversion"/>
  </si>
  <si>
    <t></t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</si>
  <si>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</si>
  <si>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</si>
  <si>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</si>
  <si>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</si>
  <si>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t>definition 여부</t>
    <phoneticPr fontId="2" type="noConversion"/>
  </si>
  <si>
    <r>
      <t xml:space="preserve">Semantic ID가 작성되어 있는지 확인한다. 
</t>
    </r>
    <r>
      <rPr>
        <sz val="10"/>
        <color theme="1"/>
        <rFont val="맑은 고딕"/>
        <family val="3"/>
        <charset val="129"/>
      </rPr>
      <t>표준 서브모델이 아닌 경우, 적절한 형식의 IRI 식별자인지 확인한다.</t>
    </r>
    <phoneticPr fontId="2" type="noConversion"/>
  </si>
  <si>
    <t>idShort 명명규칙</t>
    <phoneticPr fontId="2" type="noConversion"/>
  </si>
  <si>
    <t>'kind'가 'Type'으로 지정되어 있는지 확인한다.</t>
    <phoneticPr fontId="2" type="noConversion"/>
  </si>
  <si>
    <t>'kind'가 'Template'으로 지정되어 있는지 확인한다</t>
    <phoneticPr fontId="2" type="noConversion"/>
  </si>
  <si>
    <t>비고 (검토의견)</t>
    <phoneticPr fontId="2" type="noConversion"/>
  </si>
  <si>
    <t>AAS</t>
    <phoneticPr fontId="2" type="noConversion"/>
  </si>
  <si>
    <t>※ "AAS Model Checklist" sheet에서 각 체크사항에 대해 충족/불충족 항목들에 대한 개수를 정리한 시트입니다.</t>
    <phoneticPr fontId="2" type="noConversion"/>
  </si>
  <si>
    <t>체크사항 불충족 항목</t>
    <phoneticPr fontId="2" type="noConversion"/>
  </si>
  <si>
    <t>체크사항 충족 항목</t>
    <phoneticPr fontId="2" type="noConversion"/>
  </si>
  <si>
    <t>필수 체크사항 충족 항목</t>
    <phoneticPr fontId="2" type="noConversion"/>
  </si>
  <si>
    <t>필수 체크사항 불충족 항목</t>
    <phoneticPr fontId="2" type="noConversion"/>
  </si>
  <si>
    <t>옵션 체크사항 충족 항목</t>
    <phoneticPr fontId="2" type="noConversion"/>
  </si>
  <si>
    <t>옵션 체크사항 불충족 항목</t>
    <phoneticPr fontId="2" type="noConversion"/>
  </si>
  <si>
    <t>총 체크사항</t>
    <phoneticPr fontId="2" type="noConversion"/>
  </si>
  <si>
    <t>\</t>
    <phoneticPr fontId="2" type="noConversion"/>
  </si>
  <si>
    <t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t>
    <phoneticPr fontId="2" type="noConversion"/>
  </si>
  <si>
    <t>valueType이 설정되어야 하며, 
연결된 Concept Description의 dataType과 매칭되는 데이터 타입으로 설정되어야 한다</t>
    <phoneticPr fontId="2" type="noConversion"/>
  </si>
  <si>
    <t>dataType 설정여부</t>
    <phoneticPr fontId="2" type="noConversion"/>
  </si>
  <si>
    <t>공통</t>
    <phoneticPr fontId="2" type="noConversion"/>
  </si>
  <si>
    <t>최신 Version 여부</t>
    <phoneticPr fontId="2" type="noConversion"/>
  </si>
  <si>
    <t>IDTA 서브모델 템플릿을 활용하는 경우, 최신 버전의 템플릿을 사용하고 있는지 확인한다.</t>
    <phoneticPr fontId="2" type="noConversion"/>
  </si>
  <si>
    <t>계층 세분화</t>
    <phoneticPr fontId="2" type="noConversion"/>
  </si>
  <si>
    <t>Concept Description 매핑여부</t>
    <phoneticPr fontId="2" type="noConversion"/>
  </si>
  <si>
    <t>Concept Description과 
data type 매칭여부</t>
    <phoneticPr fontId="2" type="noConversion"/>
  </si>
  <si>
    <t>특수 SME 배제 여부</t>
    <phoneticPr fontId="2" type="noConversion"/>
  </si>
  <si>
    <t>AAS Model 정량적 검토 Checklist</t>
    <phoneticPr fontId="2" type="noConversion"/>
  </si>
  <si>
    <t xml:space="preserve">SME
(Submodel Element) </t>
    <phoneticPr fontId="2" type="noConversion"/>
  </si>
  <si>
    <t>SME 중
Property</t>
    <phoneticPr fontId="2" type="noConversion"/>
  </si>
  <si>
    <t xml:space="preserve">Submodel Elements가 Concept Description과 올바르게 매핑되어 있는지 확인한다 </t>
    <phoneticPr fontId="2" type="noConversion"/>
  </si>
  <si>
    <t>AASX 파일에 Thumbnail 이미지가 포함되어 있으며, AssetInformation의 defaultThumbnail에 동일한 경로가 설정되어 있는지 확인한다.</t>
    <phoneticPr fontId="2" type="noConversion"/>
  </si>
  <si>
    <r>
      <t>AAS 모델링에서 필수적인 성격을 지닌 아래의 4가지 Submodel이 포함되어 있으며</t>
    </r>
    <r>
      <rPr>
        <b/>
        <sz val="10"/>
        <color theme="1"/>
        <rFont val="맑은 고딕"/>
        <family val="3"/>
        <charset val="129"/>
        <scheme val="minor"/>
      </rPr>
      <t xml:space="preserve"> 총 6종 이상 8종 이하의 Submodel로 구성되어 있는지 확인한다.</t>
    </r>
    <r>
      <rPr>
        <sz val="10"/>
        <color theme="1"/>
        <rFont val="맑은 고딕"/>
        <family val="3"/>
        <charset val="129"/>
        <scheme val="minor"/>
      </rPr>
      <t xml:space="preserve">
① </t>
    </r>
    <r>
      <rPr>
        <b/>
        <sz val="10"/>
        <color theme="1"/>
        <rFont val="맑은 고딕"/>
        <family val="3"/>
        <charset val="129"/>
        <scheme val="minor"/>
      </rPr>
      <t>Digital Nameplate</t>
    </r>
    <r>
      <rPr>
        <sz val="10"/>
        <color theme="1"/>
        <rFont val="맑은 고딕"/>
        <family val="3"/>
        <charset val="129"/>
        <scheme val="minor"/>
      </rPr>
      <t xml:space="preserve">, ② </t>
    </r>
    <r>
      <rPr>
        <b/>
        <sz val="10"/>
        <color theme="1"/>
        <rFont val="맑은 고딕"/>
        <family val="3"/>
        <charset val="129"/>
      </rPr>
      <t>Handover Documentation,</t>
    </r>
    <r>
      <rPr>
        <sz val="10"/>
        <color theme="1"/>
        <rFont val="맑은 고딕"/>
        <family val="3"/>
        <charset val="129"/>
        <scheme val="minor"/>
      </rPr>
      <t xml:space="preserve">
③ Technical Data, ④ </t>
    </r>
    <r>
      <rPr>
        <sz val="10"/>
        <color theme="1"/>
        <rFont val="맑은 고딕"/>
        <family val="3"/>
        <charset val="129"/>
      </rPr>
      <t>Operational Data</t>
    </r>
    <phoneticPr fontId="2" type="noConversion"/>
  </si>
  <si>
    <t>해당 항목에 대한 definition이 작성되어 있는지 확인한다.
* description이 작성되어 있는 경우도 포함</t>
    <phoneticPr fontId="2" type="noConversion"/>
  </si>
  <si>
    <t>각 항목의 Id 양식을 확인하고, IRDI 형식인지 IRI 형식인지 구분한다.
* IRDI인 경우, 해당 항목이 CDD/Ecl@ss에 존재하여야 한다.
* IRI인 경우, 정해진 양식을 준수하고 있는지 확인한다.</t>
    <phoneticPr fontId="2" type="noConversion"/>
  </si>
  <si>
    <r>
      <t>idShort가 정의된 양식을 준수하고 있는지 확인한다.
※ 예외사항</t>
    </r>
    <r>
      <rPr>
        <b/>
        <strike/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</rPr>
      <t>Submodel Element List의 하위에 속하는 Submodel Element는 idShort를 작성하지 않아도 되며, 작성하는 경우 명명규칙을 준수하여야 함</t>
    </r>
    <phoneticPr fontId="2" type="noConversion"/>
  </si>
  <si>
    <r>
      <t xml:space="preserve">각 항목의 Id 양식을 확인하고, IRDI 형식인지 IRI 형식인지 구분한다.
IRI인 경우, 정해진 양식을 준수하고 있는지 확인한다.
</t>
    </r>
    <r>
      <rPr>
        <b/>
        <sz val="10"/>
        <color rgb="FFFF0000"/>
        <rFont val="맑은 고딕"/>
        <family val="3"/>
        <charset val="129"/>
      </rPr>
      <t>* administration에 버전 정보를 입력하고 ID 뒷부분 '/version' 과 일치 시킬것</t>
    </r>
    <phoneticPr fontId="2" type="noConversion"/>
  </si>
  <si>
    <r>
      <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phoneticPr fontId="2" type="noConversion"/>
  </si>
  <si>
    <r>
      <t xml:space="preserve">AAS 참조모델 개발 시 사용을 지양하는 Operation, BasicEventElement, </t>
    </r>
    <r>
      <rPr>
        <b/>
        <sz val="10"/>
        <color rgb="FFFF0000"/>
        <rFont val="맑은 고딕"/>
        <family val="3"/>
        <charset val="129"/>
      </rPr>
      <t xml:space="preserve">Capability </t>
    </r>
    <r>
      <rPr>
        <b/>
        <sz val="10"/>
        <color theme="1"/>
        <rFont val="맑은 고딕"/>
        <family val="3"/>
        <charset val="129"/>
        <scheme val="minor"/>
      </rPr>
      <t>엘리먼트가 사용되지 않았는지 확인한다.</t>
    </r>
    <phoneticPr fontId="2" type="noConversion"/>
  </si>
  <si>
    <r>
      <t xml:space="preserve">value값에 Example Data가 기입 되었는지 확인한다. 
</t>
    </r>
    <r>
      <rPr>
        <b/>
        <sz val="10"/>
        <color rgb="FFFF0000"/>
        <rFont val="맑은 고딕"/>
        <family val="3"/>
        <charset val="129"/>
      </rPr>
      <t>* DigitalNameplate, HandoverDocumentation 제외</t>
    </r>
    <phoneticPr fontId="2" type="noConversion"/>
  </si>
  <si>
    <t>Concept Description의 dataType이 설정되어 있는지 확인한다
* eCl@ss/CDD에서 dataType이 정의되어 있지 않은 경우는 제외</t>
    <phoneticPr fontId="2" type="noConversion"/>
  </si>
  <si>
    <t>AASX에 Thumbnail 이미지가 포함되어 있으며, defaultThumbnail에도 동일한 경로가 설정되어 있음을 확인함.</t>
    <phoneticPr fontId="2" type="noConversion"/>
  </si>
  <si>
    <t>필수 대상에 idShort가 설정되어 있으며, SML 직접 하위 요소는 허용된 생략 기준을 적용함.</t>
  </si>
  <si>
    <t>설정된 idShort가 공백이나 부적절한 특수문자 없이 일관된 영문 명명 형식을 준수함.</t>
  </si>
  <si>
    <r>
      <t xml:space="preserve">AAS ID가 지정된 IRI 형식으로 작성되었으며, administration의 버전 </t>
    </r>
    <r>
      <rPr>
        <sz val="10"/>
        <color theme="1"/>
        <rFont val="Arial Unicode MS"/>
        <family val="3"/>
        <charset val="129"/>
      </rPr>
      <t>1/0</t>
    </r>
    <r>
      <rPr>
        <sz val="11"/>
        <color theme="1"/>
        <rFont val="맑은 고딕"/>
        <family val="2"/>
        <charset val="129"/>
        <scheme val="minor"/>
      </rPr>
      <t>과 ID 끝부분이 일치함.</t>
    </r>
  </si>
  <si>
    <t>Digital Nameplate, Handover Documentation, Technical Data, Operational Data를 포함하여 총 8종의 Submodel로 구성됨.</t>
  </si>
  <si>
    <t>장비 식별을 위한 UUID 기반 URN 형식의 globalAssetId가 설정되어 있음.</t>
  </si>
  <si>
    <r>
      <t xml:space="preserve">AssetInformation의 </t>
    </r>
    <r>
      <rPr>
        <sz val="10"/>
        <color theme="1"/>
        <rFont val="Arial Unicode MS"/>
        <family val="3"/>
        <charset val="129"/>
      </rPr>
      <t>assetKind</t>
    </r>
    <r>
      <rPr>
        <sz val="11"/>
        <color theme="1"/>
        <rFont val="맑은 고딕"/>
        <family val="2"/>
        <charset val="129"/>
        <scheme val="minor"/>
      </rPr>
      <t xml:space="preserve">가 </t>
    </r>
    <r>
      <rPr>
        <sz val="10"/>
        <color theme="1"/>
        <rFont val="Arial Unicode MS"/>
        <family val="3"/>
        <charset val="129"/>
      </rPr>
      <t>Type</t>
    </r>
    <r>
      <rPr>
        <sz val="11"/>
        <color theme="1"/>
        <rFont val="맑은 고딕"/>
        <family val="2"/>
        <charset val="129"/>
        <scheme val="minor"/>
      </rPr>
      <t>으로 설정되어 있음을 확인함.</t>
    </r>
  </si>
  <si>
    <t>적용된 IDTA 표준 Submodel의 버전 정보가 각 ID 및 semanticId의 버전과 일치함.</t>
  </si>
  <si>
    <t>모든 Submodel ID가 AAS명, Submodel명 및 버전을 포함한 지정 IRI 형식으로 작성됨.</t>
  </si>
  <si>
    <t>모든 Submodel에 semanticId가 설정되어 있으며, 표준 및 자체 정의 Submodel에 적합한 식별자를 적용함.</t>
  </si>
  <si>
    <t>전체 Submodel의 kind가 Template으로 설정되어 있음.</t>
    <phoneticPr fontId="2" type="noConversion"/>
  </si>
  <si>
    <t>TechnicalData, OperationalData, FunctionalSafety 등 장비 특화 Submodel이 SMC와 SML을 활용한 목적별 계층 구조로 구성됨.</t>
    <phoneticPr fontId="2" type="noConversion"/>
  </si>
  <si>
    <t>Operation, BasicEventElement 및 Capability 요소가 사용되지 않았음을 확인함.</t>
  </si>
  <si>
    <t>모든 SME에 semanticId가 설정되어 대응 ConceptDescription 또는 표준 의미 식별자와 연결됨.</t>
    <phoneticPr fontId="2" type="noConversion"/>
  </si>
  <si>
    <t>검토 대상 Property에 FPD 반송 로봇의 특성을 반영한 예시 데이터가 입력되어 있음.</t>
    <phoneticPr fontId="2" type="noConversion"/>
  </si>
  <si>
    <t>Property의 valueType이 연결된 ConceptDescription의 dataType과 일치하도록 설정됨.</t>
    <phoneticPr fontId="2" type="noConversion"/>
  </si>
  <si>
    <t>ConceptDescription ID가 출처에 따라 IRI 또는 IRDI 형식으로 적절하게 구성됨.</t>
    <phoneticPr fontId="2" type="noConversion"/>
  </si>
  <si>
    <t>전체 ConceptDescription에 해당 항목의 의미를 설명하는 definition 또는 description이 작성됨.</t>
    <phoneticPr fontId="2" type="noConversion"/>
  </si>
  <si>
    <t>dataType이 정의된 ConceptDescription에는 해당 값이 설정되어 있으며, 표준에서 미정의된 항목은 예외 기준을 적용함.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</si>
</sst>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0"/>
      <color theme="1"/>
      <name val="Wingdings"/>
      <family val="2"/>
      <charset val="2"/>
    </font>
    <font>
      <sz val="10"/>
      <color theme="1"/>
      <name val="맑은 고딕"/>
      <family val="3"/>
      <charset val="129"/>
    </font>
    <font>
      <sz val="11"/>
      <color rgb="FF00B050"/>
      <name val="맑은 고딕"/>
      <family val="3"/>
      <charset val="129"/>
      <scheme val="minor"/>
    </font>
    <font>
      <strike/>
      <sz val="10"/>
      <color rgb="FF00B050"/>
      <name val="맑은 고딕"/>
      <family val="3"/>
      <charset val="129"/>
      <scheme val="minor"/>
    </font>
    <font>
      <strike/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Arial Unicode MS"/>
      <family val="3"/>
      <charset val="129"/>
    </font>
    <font>
      <b/>
      <strike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FF"/>
        <bgColor indexed="64"/>
      </patternFill>
    </fill>
    <fill>
      <patternFill patternType="solid">
        <fgColor rgb="FFC0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58">
    <xf numFmtId="0" fontId="0" fillId="0" borderId="0" xfId="0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3" fillId="0" borderId="0" xfId="0" applyFont="1">
      <alignment vertical="center"/>
    </xf>
    <xf numFmtId="0" fontId="7" fillId="2" borderId="2" xfId="1" applyFont="1" applyBorder="1" applyAlignment="1">
      <alignment horizontal="center" vertical="center"/>
    </xf>
    <xf numFmtId="0" fontId="7" fillId="2" borderId="2" xfId="1" quotePrefix="1" applyFont="1" applyBorder="1" applyAlignment="1">
      <alignment horizontal="center" vertical="center"/>
    </xf>
    <xf numFmtId="0" fontId="7" fillId="2" borderId="2" xfId="1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" xfId="0" quotePrefix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7" fillId="0" borderId="0" xfId="0" quotePrefix="1" applyFont="1" applyAlignment="1">
      <alignment vertical="center" wrapText="1"/>
    </xf>
    <xf numFmtId="0" fontId="0" fillId="0" borderId="0" xfId="0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4" fillId="0" borderId="2" xfId="0" quotePrefix="1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15" fillId="0" borderId="2" xfId="0" applyFont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horizontal="left" vertical="center"/>
    </xf>
    <xf numFmtId="0" fontId="15" fillId="0" borderId="2" xfId="0" quotePrefix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0" borderId="2" xfId="0" applyFont="1" applyBorder="1" applyAlignment="1">
      <alignment horizontal="center" vertical="center"/>
    </xf>
    <xf numFmtId="0" fontId="10" fillId="0" borderId="2" xfId="0" quotePrefix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5" borderId="2" xfId="0" quotePrefix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2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49" fontId="4" fillId="0" borderId="2" xfId="0" quotePrefix="1" applyNumberFormat="1" applyFont="1" applyBorder="1" applyAlignment="1">
      <alignment horizontal="left" vertical="center" wrapText="1"/>
    </xf>
    <xf numFmtId="49" fontId="4" fillId="0" borderId="2" xfId="0" quotePrefix="1" applyNumberFormat="1" applyFont="1" applyBorder="1" applyAlignment="1">
      <alignment horizontal="left" vertical="center"/>
    </xf>
    <xf numFmtId="0" fontId="5" fillId="0" borderId="2" xfId="0" quotePrefix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colors>
    <mruColors>
      <color rgb="FF0000FF"/>
      <color rgb="FFFFFFCC"/>
      <color rgb="FFC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1D97-18C1-4F89-9679-A4237428C2F2}">
  <sheetPr codeName="Sheet2"/>
  <dimension ref="A1:K29"/>
  <sheetViews>
    <sheetView showGridLines="0" tabSelected="1" topLeftCell="A17" zoomScale="85" zoomScaleNormal="85" workbookViewId="0">
      <selection activeCell="G20" sqref="G20"/>
    </sheetView>
  </sheetViews>
  <sheetFormatPr defaultColWidth="8.875" defaultRowHeight="16.5"/>
  <cols>
    <col min="1" max="1" width="17.5" style="11" bestFit="1" customWidth="1"/>
    <col min="2" max="2" width="4.5" style="11" bestFit="1" customWidth="1"/>
    <col min="3" max="3" width="6.375" style="11" bestFit="1" customWidth="1"/>
    <col min="4" max="4" width="26.5" style="11" bestFit="1" customWidth="1"/>
    <col min="5" max="5" width="71.375" style="11" customWidth="1"/>
    <col min="6" max="6" width="10" style="11" customWidth="1"/>
    <col min="7" max="7" width="115.5" style="27" bestFit="1" customWidth="1"/>
    <col min="8" max="8" width="24" customWidth="1"/>
    <col min="9" max="9" width="107.375" style="18" customWidth="1"/>
    <col min="10" max="10" width="13" style="20" customWidth="1"/>
    <col min="11" max="11" width="39.5" customWidth="1"/>
  </cols>
  <sheetData>
    <row r="1" spans="1:11" ht="20.25">
      <c r="A1" s="52" t="inlineStr">
        <is>
          <t xml:space="preserve">FPD 반송 로봇 AAS Model 정량적 검토 Checklist</t>
        </is>
      </c>
      <c r="B1" s="52"/>
      <c r="C1" s="52"/>
      <c r="D1" s="52"/>
      <c r="E1" s="52"/>
      <c r="F1" s="52"/>
      <c r="G1" s="52"/>
      <c r="I1" s="25"/>
      <c r="K1" s="20"/>
    </row>
    <row r="2" spans="1:11">
      <c r="A2" s="1" t="s">
        <v>2</v>
      </c>
      <c r="B2" s="1" t="s">
        <v>3</v>
      </c>
      <c r="C2" s="1" t="s">
        <v>4</v>
      </c>
      <c r="D2" s="1" t="s">
        <v>5</v>
      </c>
      <c r="E2" s="2" t="s">
        <v>0</v>
      </c>
      <c r="F2" s="2" t="s">
        <v>6</v>
      </c>
      <c r="G2" s="2" t="s">
        <v>44</v>
      </c>
      <c r="K2" s="21"/>
    </row>
    <row r="3" spans="1:11" ht="27">
      <c r="A3" s="3" t="s">
        <v>7</v>
      </c>
      <c r="B3" s="4">
        <v>1</v>
      </c>
      <c r="C3" s="4" t="s">
        <v>8</v>
      </c>
      <c r="D3" s="4" t="s">
        <v>9</v>
      </c>
      <c r="E3" s="41" t="s">
        <v>69</v>
      </c>
      <c r="F3" s="15" t="b">
        <v>1</v>
      </c>
      <c r="G3" s="31" t="inlineStr">
        <is>
          <t xml:space="preserve">AASX에 FPD 반송 로봇을 표현하는 Thumbnail 이미지가 포함되어 있으며, AssetInformation의 defaultThumbnail에도 동일 경로(/aasx/thumbnail.png)가 설정되어 있음.</t>
        </is>
      </c>
      <c r="K3" s="21"/>
    </row>
    <row r="4" spans="1:11" ht="24" customHeight="1">
      <c r="A4" s="43" t="s">
        <v>58</v>
      </c>
      <c r="B4" s="7">
        <v>2</v>
      </c>
      <c r="C4" s="7" t="s">
        <v>8</v>
      </c>
      <c r="D4" s="7" t="s">
        <v>10</v>
      </c>
      <c r="E4" s="39" t="s">
        <v>11</v>
      </c>
      <c r="F4" s="15" t="b">
        <v>1</v>
      </c>
      <c r="G4" s="53" t="inlineStr">
        <is>
          <t xml:space="preserve">필수 대상에 idShort가 설정되어 있으며, SML 직접 하위 요소는 허용된 생략 기준(AASd-120)을 적용함.</t>
        </is>
      </c>
      <c r="K4" s="21"/>
    </row>
    <row r="5" spans="1:11" ht="67.5">
      <c r="A5" s="43"/>
      <c r="B5" s="7">
        <v>3</v>
      </c>
      <c r="C5" s="7" t="s">
        <v>8</v>
      </c>
      <c r="D5" s="7" t="s">
        <v>41</v>
      </c>
      <c r="E5" s="39" t="s">
        <v>73</v>
      </c>
      <c r="F5" s="15" t="b">
        <v>1</v>
      </c>
      <c r="G5" s="53" t="inlineStr">
        <is>
          <t xml:space="preserve">설정된 idShort가 공백이나 부적절한 특수문자 없이 일관된 영문 명명 형식을 준수함.</t>
        </is>
      </c>
      <c r="K5" s="21"/>
    </row>
    <row r="6" spans="1:11" ht="54">
      <c r="A6" s="43" t="s">
        <v>45</v>
      </c>
      <c r="B6" s="4">
        <v>4</v>
      </c>
      <c r="C6" s="4" t="s">
        <v>8</v>
      </c>
      <c r="D6" s="4" t="s">
        <v>12</v>
      </c>
      <c r="E6" s="6" t="s">
        <v>74</v>
      </c>
      <c r="F6" s="15" t="b">
        <v>1</v>
      </c>
      <c r="G6" s="53" t="inlineStr">
        <is>
          <t xml:space="preserve">AAS ID가 IRI 형식(.../ids/aas/FPDGlassSubstrateTransferRobot/1/0)으로 작성되었으며, administration 버전 1/0과 ID 끝부분이 일치함.</t>
        </is>
      </c>
      <c r="K6" s="21"/>
    </row>
    <row r="7" spans="1:11" ht="54">
      <c r="A7" s="43"/>
      <c r="B7" s="5">
        <v>5</v>
      </c>
      <c r="C7" s="4" t="s">
        <v>8</v>
      </c>
      <c r="D7" s="4" t="s">
        <v>14</v>
      </c>
      <c r="E7" s="6" t="s">
        <v>70</v>
      </c>
      <c r="F7" s="15" t="b">
        <v>1</v>
      </c>
      <c r="G7" s="53" t="inlineStr">
        <is>
          <t xml:space="preserve">Digital Nameplate, Handover Documentation, Technical Data, Operational Data(필수 4종)를 포함하여 Functional Safety, Predictive Maintenance, Time Series까지 총 7종의 Submodel로 구성됨.</t>
        </is>
      </c>
      <c r="K7" s="21"/>
    </row>
    <row r="8" spans="1:11" ht="24.95" customHeight="1">
      <c r="A8" s="43"/>
      <c r="B8" s="4">
        <v>6</v>
      </c>
      <c r="C8" s="4" t="s">
        <v>13</v>
      </c>
      <c r="D8" s="4" t="s">
        <v>15</v>
      </c>
      <c r="E8" s="6" t="s">
        <v>16</v>
      </c>
      <c r="F8" s="15" t="b">
        <v>1</v>
      </c>
      <c r="G8" s="53" t="inlineStr">
        <is>
          <t xml:space="preserve">smart-factory.kr 네임스페이스 기반 IRI 형식의 globalAssetId(.../ids/asset/FPDGlassSubstrateTransferRobot/1/0)가 설정되어 있음.</t>
        </is>
      </c>
      <c r="K8" s="21"/>
    </row>
    <row r="9" spans="1:11" ht="24.95" customHeight="1">
      <c r="A9" s="43"/>
      <c r="B9" s="4">
        <v>7</v>
      </c>
      <c r="C9" s="4" t="s">
        <v>8</v>
      </c>
      <c r="D9" s="4" t="s">
        <v>17</v>
      </c>
      <c r="E9" s="26" t="s">
        <v>42</v>
      </c>
      <c r="F9" s="16" t="b">
        <v>1</v>
      </c>
      <c r="G9" s="53" t="inlineStr">
        <is>
          <t xml:space="preserve">AssetInformation의 assetKind가 Type으로 설정되어 있음을 확인함.</t>
        </is>
      </c>
      <c r="K9" s="21"/>
    </row>
    <row r="10" spans="1:11" ht="33.950000000000003" customHeight="1">
      <c r="A10" s="43" t="s">
        <v>18</v>
      </c>
      <c r="B10" s="7">
        <v>8</v>
      </c>
      <c r="C10" s="7" t="s">
        <v>8</v>
      </c>
      <c r="D10" s="7" t="s">
        <v>59</v>
      </c>
      <c r="E10" s="40" t="s">
        <v>60</v>
      </c>
      <c r="F10" s="16" t="b">
        <v>1</v>
      </c>
      <c r="G10" s="53" t="inlineStr">
        <is>
          <t xml:space="preserve">적용된 IDTA 표준 Submodel(Digital Nameplate 3.0, Handover 2.0, Technical Data 2.0, Time Series 1.1.1[IDTA 02008-1-1-1], Predictive Maintenance 등)의 버전 정보가 각 ID 및 semanticId의 버전과 일치함.</t>
        </is>
      </c>
      <c r="K10" s="21"/>
    </row>
    <row r="11" spans="1:11" ht="54">
      <c r="A11" s="43"/>
      <c r="B11" s="4">
        <v>9</v>
      </c>
      <c r="C11" s="4" t="s">
        <v>8</v>
      </c>
      <c r="D11" s="4" t="s">
        <v>12</v>
      </c>
      <c r="E11" s="6" t="s">
        <v>74</v>
      </c>
      <c r="F11" s="15" t="b">
        <v>1</v>
      </c>
      <c r="G11" s="53" t="inlineStr">
        <is>
          <t xml:space="preserve">모든 Submodel ID가 AAS명, Submodel명 및 버전을 포함한 지정 IRI 형식(.../ids/sm/FPDGlassSubstrateTransferRobot/&lt;Submodel&gt;/1/0)으로 작성됨.</t>
        </is>
      </c>
      <c r="K11" s="23"/>
    </row>
    <row r="12" spans="1:11" ht="27">
      <c r="A12" s="43"/>
      <c r="B12" s="5">
        <v>10</v>
      </c>
      <c r="C12" s="4" t="s">
        <v>8</v>
      </c>
      <c r="D12" s="4" t="s">
        <v>19</v>
      </c>
      <c r="E12" s="6" t="s">
        <v>40</v>
      </c>
      <c r="F12" s="15" t="b">
        <v>1</v>
      </c>
      <c r="G12" s="53" t="inlineStr">
        <is>
          <t xml:space="preserve">표준 서브모델 6종은 IDTA 공식 semanticId(IRI 또는 IRDI), 자체 정의 Operational Data는 smart-factory.kr IRI를 적용하여 모든 Submodel에 semanticId가 설정됨. [사전 제출검토 반영] IDTA 표준 요소의 공식 semanticId를 원본대로 복원하고, TS 구조(SMC)·버전(1.1.1)·DataSpecification(IEC 61360)·Digital Nameplate AddressInformation을 수정 후 재검증 통과함. KOSMO Validator의 표준 semanticId(admin-shell.io) Failed는 IDTA '변경 없이 사용' 원칙에 따른 오판으로 기록함.</t>
        </is>
      </c>
      <c r="I12" s="19"/>
      <c r="J12" s="24"/>
      <c r="K12" s="21"/>
    </row>
    <row r="13" spans="1:11" ht="24.95" customHeight="1">
      <c r="A13" s="43"/>
      <c r="B13" s="4">
        <v>11</v>
      </c>
      <c r="C13" s="4" t="s">
        <v>8</v>
      </c>
      <c r="D13" s="4" t="s">
        <v>20</v>
      </c>
      <c r="E13" s="26" t="s">
        <v>43</v>
      </c>
      <c r="F13" s="16" t="b">
        <v>1</v>
      </c>
      <c r="G13" s="53" t="inlineStr">
        <is>
          <t xml:space="preserve">전체 Submodel의 kind가 Template으로 설정되어 있음.</t>
        </is>
      </c>
      <c r="K13" s="21"/>
    </row>
    <row r="14" spans="1:11" ht="129.94999999999999" customHeight="1">
      <c r="A14" s="43"/>
      <c r="B14" s="7">
        <v>12</v>
      </c>
      <c r="C14" s="7" t="s">
        <v>13</v>
      </c>
      <c r="D14" s="7" t="s">
        <v>61</v>
      </c>
      <c r="E14" s="40" t="s">
        <v>75</v>
      </c>
      <c r="F14" s="16" t="b">
        <v>1</v>
      </c>
      <c r="G14" s="32" t="inlineStr">
        <is>
          <t xml:space="preserve">Technical Data(TechnicalPropertyAreas SML 하위 영역별 2단계 SMC)와 Operational Data 등 장비 특화 Submodel이 SMC와 SML을 활용한 목적별 2단계 이상 계층 구조로 구성됨.</t>
        </is>
      </c>
      <c r="K14" s="21"/>
    </row>
    <row r="15" spans="1:11" ht="27">
      <c r="A15" s="42" t="s">
        <v>66</v>
      </c>
      <c r="B15" s="7">
        <v>13</v>
      </c>
      <c r="C15" s="7" t="s">
        <v>13</v>
      </c>
      <c r="D15" s="38" t="s">
        <v>64</v>
      </c>
      <c r="E15" s="39" t="s">
        <v>76</v>
      </c>
      <c r="F15" s="16" t="b">
        <v>1</v>
      </c>
      <c r="G15" s="53" t="inlineStr">
        <is>
          <t xml:space="preserve">Operation, BasicEventElement 및 Capability 요소가 사용되지 않았음을 확인함(각 0개).</t>
        </is>
      </c>
      <c r="K15" s="21"/>
    </row>
    <row r="16" spans="1:11" ht="26.1" customHeight="1">
      <c r="A16" s="42"/>
      <c r="B16" s="4">
        <v>14</v>
      </c>
      <c r="C16" s="4" t="s">
        <v>8</v>
      </c>
      <c r="D16" s="4" t="s">
        <v>62</v>
      </c>
      <c r="E16" s="6" t="s">
        <v>68</v>
      </c>
      <c r="F16" s="16" t="b">
        <v>1</v>
      </c>
      <c r="G16" s="32" t="inlineStr">
        <is>
          <t xml:space="preserve">모든 SME에 semanticId가 설정되어 대응 ConceptDescription(총 203개) 또는 표준 의미 식별자와 연결됨. RatedVoltage 등 CD의 embeddedDataSpecification을 IEC 61360 표준 참조로 정정함.</t>
        </is>
      </c>
      <c r="K16" s="21"/>
    </row>
    <row r="17" spans="1:11" ht="53.1" customHeight="1">
      <c r="A17" s="42" t="s">
        <v>67</v>
      </c>
      <c r="B17" s="7">
        <v>15</v>
      </c>
      <c r="C17" s="7" t="s">
        <v>8</v>
      </c>
      <c r="D17" s="7" t="s">
        <v>21</v>
      </c>
      <c r="E17" s="39" t="s">
        <v>77</v>
      </c>
      <c r="F17" s="15" t="b">
        <v>1</v>
      </c>
      <c r="G17" s="33" t="inlineStr">
        <is>
          <t xml:space="preserve">검토 대상 Property(133개 전부)에 FPD 반송 로봇의 특성을 반영한 비식별 예시 데이터가 입력됨.</t>
        </is>
      </c>
      <c r="K17" s="21"/>
    </row>
    <row r="18" spans="1:11" ht="36.950000000000003" customHeight="1">
      <c r="A18" s="42"/>
      <c r="B18" s="5">
        <v>16</v>
      </c>
      <c r="C18" s="4" t="s">
        <v>8</v>
      </c>
      <c r="D18" s="8" t="s">
        <v>63</v>
      </c>
      <c r="E18" s="6" t="s">
        <v>56</v>
      </c>
      <c r="F18" s="35" t="b">
        <v>1</v>
      </c>
      <c r="G18" s="37" t="inlineStr">
        <is>
          <t xml:space="preserve">Property의 valueType이 연결된 ConceptDescription의 dataType과 일치하도록 설정됨.</t>
        </is>
      </c>
      <c r="K18" s="21"/>
    </row>
    <row r="19" spans="1:11" ht="69" customHeight="1">
      <c r="A19" s="43" t="s">
        <v>22</v>
      </c>
      <c r="B19" s="5">
        <v>17</v>
      </c>
      <c r="C19" s="4" t="s">
        <v>8</v>
      </c>
      <c r="D19" s="4" t="s">
        <v>12</v>
      </c>
      <c r="E19" s="6" t="s">
        <v>72</v>
      </c>
      <c r="F19" s="15" t="b">
        <v>1</v>
      </c>
      <c r="G19" s="26" t="inlineStr">
        <is>
          <t xml:space="preserve">ConceptDescription ID가 출처에 따라 IRI 또는 IRDI 형식으로 적절하게 구성됨.</t>
        </is>
      </c>
      <c r="K19" s="21"/>
    </row>
    <row r="20" spans="1:11" ht="53.1" customHeight="1">
      <c r="A20" s="43"/>
      <c r="B20" s="4">
        <v>18</v>
      </c>
      <c r="C20" s="8" t="s">
        <v>8</v>
      </c>
      <c r="D20" s="4" t="s">
        <v>39</v>
      </c>
      <c r="E20" s="6" t="s">
        <v>71</v>
      </c>
      <c r="F20" s="15" t="b">
        <v>1</v>
      </c>
      <c r="G20" s="32" t="inlineStr">
        <is>
          <t xml:space="preserve">전체 ConceptDescription에 해당 항목의 의미를 설명하는 영문 definition이 작성됨.</t>
        </is>
      </c>
      <c r="I20" s="19"/>
      <c r="K20" s="21"/>
    </row>
    <row r="21" spans="1:11" ht="53.1" customHeight="1">
      <c r="A21" s="43"/>
      <c r="B21" s="5">
        <v>19</v>
      </c>
      <c r="C21" s="8" t="s">
        <v>8</v>
      </c>
      <c r="D21" s="4" t="s">
        <v>57</v>
      </c>
      <c r="E21" s="6" t="s">
        <v>78</v>
      </c>
      <c r="F21" s="15" t="b">
        <v>1</v>
      </c>
      <c r="G21" s="32" t="inlineStr">
        <is>
          <t xml:space="preserve">dataType이 정의된 ConceptDescription에는 해당 값이 설정되어 있으며, 표준에서 미정의된 항목은 예외 기준을 적용함.</t>
        </is>
      </c>
      <c r="I21" s="19"/>
      <c r="K21" s="21"/>
    </row>
    <row r="22" spans="1:11" ht="51.95" customHeight="1">
      <c r="A22" s="3" t="s">
        <v>1</v>
      </c>
      <c r="B22" s="54" t="s">
        <v>55</v>
      </c>
      <c r="C22" s="55"/>
      <c r="D22" s="55"/>
      <c r="E22" s="55"/>
      <c r="F22" s="55"/>
      <c r="G22" s="55"/>
      <c r="I22" s="19"/>
      <c r="K22" s="21"/>
    </row>
    <row r="23" spans="1:11">
      <c r="A23" s="3" t="s">
        <v>30</v>
      </c>
      <c r="B23" s="34">
        <v>19</v>
      </c>
      <c r="C23" s="56"/>
      <c r="D23" s="57"/>
      <c r="E23" s="57"/>
      <c r="F23" s="57"/>
      <c r="G23" s="57"/>
      <c r="K23" s="21"/>
    </row>
    <row r="24" spans="1:11">
      <c r="B24" s="11" t="s">
        <v>54</v>
      </c>
      <c r="K24" s="21"/>
    </row>
    <row r="25" spans="1:11">
      <c r="K25" s="21"/>
    </row>
    <row r="26" spans="1:11">
      <c r="K26" s="22"/>
    </row>
    <row r="29" spans="1:11">
      <c r="H29" s="11"/>
    </row>
  </sheetData>
  <mergeCells count="9">
    <mergeCell ref="C23:G23"/>
    <mergeCell ref="A1:G1"/>
    <mergeCell ref="A10:A14"/>
    <mergeCell ref="B22:G22"/>
    <mergeCell ref="A4:A5"/>
    <mergeCell ref="A6:A9"/>
    <mergeCell ref="A19:A21"/>
    <mergeCell ref="A15:A16"/>
    <mergeCell ref="A17:A18"/>
  </mergeCells>
  <phoneticPr fontId="2" type="noConversion"/>
  <printOptions headings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CFA8-2B62-4A0D-A4D5-EAC8DD1FB7DB}">
  <sheetPr codeName="Sheet3"/>
  <dimension ref="A1:J13"/>
  <sheetViews>
    <sheetView zoomScale="130" zoomScaleNormal="130" workbookViewId="0">
      <selection activeCell="G28" sqref="G28"/>
    </sheetView>
  </sheetViews>
  <sheetFormatPr defaultColWidth="8.875" defaultRowHeight="16.5"/>
  <cols>
    <col min="1" max="4" width="9" style="10"/>
    <col min="5" max="6" width="15" style="10" customWidth="1"/>
    <col min="7" max="7" width="17" style="10" customWidth="1"/>
    <col min="8" max="8" width="21.375" style="10" customWidth="1"/>
    <col min="9" max="9" width="28.5" bestFit="1" customWidth="1"/>
  </cols>
  <sheetData>
    <row r="1" spans="1:10" ht="20.25">
      <c r="A1" s="45" t="s">
        <v>32</v>
      </c>
      <c r="B1" s="46"/>
      <c r="C1" s="46"/>
      <c r="D1" s="46"/>
      <c r="E1" s="46"/>
      <c r="F1" s="46"/>
      <c r="G1" s="46"/>
      <c r="H1" s="46"/>
      <c r="I1" s="46"/>
      <c r="J1" s="17"/>
    </row>
    <row r="2" spans="1:10">
      <c r="A2" s="47" t="s">
        <v>24</v>
      </c>
      <c r="B2" s="47"/>
      <c r="C2" s="47"/>
      <c r="D2" s="47"/>
      <c r="E2" s="1" t="s">
        <v>25</v>
      </c>
      <c r="F2" s="2" t="s">
        <v>26</v>
      </c>
      <c r="G2" s="1" t="s">
        <v>27</v>
      </c>
      <c r="H2" s="1" t="s">
        <v>28</v>
      </c>
      <c r="I2" s="1" t="s">
        <v>1</v>
      </c>
    </row>
    <row r="3" spans="1:10">
      <c r="A3" s="43" t="s">
        <v>29</v>
      </c>
      <c r="B3" s="43"/>
      <c r="C3" s="43"/>
      <c r="D3" s="43"/>
      <c r="E3" s="50" t="s">
        <v>34</v>
      </c>
      <c r="F3" s="51"/>
      <c r="G3" s="9">
        <f>COUNTIF('AAS Model Checklist'!F3:F21, TRUE)</f>
        <v>19</v>
      </c>
      <c r="H3" s="9">
        <f>ROUND(G3/G5, 3) * 100</f>
        <v>100</v>
      </c>
      <c r="I3" s="29" t="s">
        <v>48</v>
      </c>
    </row>
    <row r="4" spans="1:10">
      <c r="A4" s="43"/>
      <c r="B4" s="43"/>
      <c r="C4" s="43"/>
      <c r="D4" s="43"/>
      <c r="E4" s="50" t="s">
        <v>33</v>
      </c>
      <c r="F4" s="51"/>
      <c r="G4" s="36">
        <f>'AAS Model Checklist'!B23 - G3</f>
        <v>0</v>
      </c>
      <c r="H4" s="9">
        <f>ROUND(G4/G5, 3) * 100</f>
        <v>0</v>
      </c>
      <c r="I4" s="29" t="s">
        <v>47</v>
      </c>
    </row>
    <row r="5" spans="1:10">
      <c r="A5" s="43"/>
      <c r="B5" s="43"/>
      <c r="C5" s="43"/>
      <c r="D5" s="43"/>
      <c r="E5" s="12" t="s">
        <v>30</v>
      </c>
      <c r="F5" s="13" t="s">
        <v>23</v>
      </c>
      <c r="G5" s="12">
        <f>SUM(G3:G4)</f>
        <v>19</v>
      </c>
      <c r="H5" s="12">
        <f>SUM(H3:H4)</f>
        <v>100</v>
      </c>
      <c r="I5" s="30" t="s">
        <v>53</v>
      </c>
    </row>
    <row r="6" spans="1:10">
      <c r="A6" s="49" t="s">
        <v>31</v>
      </c>
      <c r="B6" s="49"/>
      <c r="C6" s="49"/>
      <c r="D6" s="49"/>
      <c r="E6" s="48" t="s">
        <v>8</v>
      </c>
      <c r="F6" s="9" t="s">
        <v>35</v>
      </c>
      <c r="G6" s="9">
        <f>COUNTIFS('AAS Model Checklist'!C3:C21, "필수", 'AAS Model Checklist'!F3:F21, TRUE)</f>
        <v>16</v>
      </c>
      <c r="H6" s="9">
        <f>ROUND(G6/G10, 3) * 100</f>
        <v>84.2</v>
      </c>
      <c r="I6" s="29" t="s">
        <v>49</v>
      </c>
    </row>
    <row r="7" spans="1:10">
      <c r="A7" s="49"/>
      <c r="B7" s="49"/>
      <c r="C7" s="49"/>
      <c r="D7" s="49"/>
      <c r="E7" s="48"/>
      <c r="F7" s="9" t="s">
        <v>36</v>
      </c>
      <c r="G7" s="9">
        <f>COUNTIFS('AAS Model Checklist'!C3:C21, "필수", 'AAS Model Checklist'!F3:F21, FALSE)</f>
        <v>0</v>
      </c>
      <c r="H7" s="9">
        <f>ROUND(G7/G10, 3) * 100</f>
        <v>0</v>
      </c>
      <c r="I7" s="29" t="s">
        <v>50</v>
      </c>
    </row>
    <row r="8" spans="1:10">
      <c r="A8" s="49"/>
      <c r="B8" s="49"/>
      <c r="C8" s="49"/>
      <c r="D8" s="49"/>
      <c r="E8" s="48" t="s">
        <v>13</v>
      </c>
      <c r="F8" s="9" t="s">
        <v>37</v>
      </c>
      <c r="G8" s="9">
        <f>COUNTIFS('AAS Model Checklist'!C3:C21, "옵션", 'AAS Model Checklist'!F3:F21, TRUE)</f>
        <v>3</v>
      </c>
      <c r="H8" s="9">
        <f>ROUND(G8/G10, 3) * 100</f>
        <v>15.8</v>
      </c>
      <c r="I8" s="29" t="s">
        <v>51</v>
      </c>
    </row>
    <row r="9" spans="1:10">
      <c r="A9" s="49"/>
      <c r="B9" s="49"/>
      <c r="C9" s="49"/>
      <c r="D9" s="49"/>
      <c r="E9" s="48"/>
      <c r="F9" s="9" t="s">
        <v>38</v>
      </c>
      <c r="G9" s="9">
        <f>COUNTIFS('AAS Model Checklist'!C3:C21, "옵션", 'AAS Model Checklist'!F3:F21, FALSE)</f>
        <v>0</v>
      </c>
      <c r="H9" s="9">
        <f>ROUND(G9/G10, 3) * 100</f>
        <v>0</v>
      </c>
      <c r="I9" s="29" t="s">
        <v>52</v>
      </c>
    </row>
    <row r="10" spans="1:10">
      <c r="A10" s="49"/>
      <c r="B10" s="49"/>
      <c r="C10" s="49"/>
      <c r="D10" s="49"/>
      <c r="E10" s="12" t="s">
        <v>30</v>
      </c>
      <c r="F10" s="14" t="s">
        <v>23</v>
      </c>
      <c r="G10" s="12">
        <f>SUM(G6:G9)</f>
        <v>19</v>
      </c>
      <c r="H10" s="12">
        <f>SUM(H6:H9)</f>
        <v>100</v>
      </c>
      <c r="I10" s="30" t="s">
        <v>53</v>
      </c>
    </row>
    <row r="12" spans="1:10">
      <c r="A12" s="44" t="s">
        <v>46</v>
      </c>
      <c r="B12" s="44"/>
      <c r="C12" s="44"/>
      <c r="D12" s="44"/>
      <c r="E12" s="44"/>
      <c r="F12" s="44"/>
      <c r="G12" s="44"/>
      <c r="H12" s="44"/>
      <c r="I12" s="44"/>
    </row>
    <row r="13" spans="1:10">
      <c r="B13" s="28"/>
    </row>
  </sheetData>
  <mergeCells count="9">
    <mergeCell ref="A12:I12"/>
    <mergeCell ref="A1:I1"/>
    <mergeCell ref="A2:D2"/>
    <mergeCell ref="E6:E7"/>
    <mergeCell ref="E8:E9"/>
    <mergeCell ref="A3:D5"/>
    <mergeCell ref="A6:D10"/>
    <mergeCell ref="E3:F3"/>
    <mergeCell ref="E4:F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AAS Model Checklist</vt:lpstr>
      <vt:lpstr>AAS Model Checklist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배태겸</dc:creator>
  <cp:lastModifiedBy>익제 김</cp:lastModifiedBy>
  <cp:lastPrinted>2025-02-14T07:07:43Z</cp:lastPrinted>
  <dcterms:created xsi:type="dcterms:W3CDTF">2025-02-14T06:46:23Z</dcterms:created>
  <dcterms:modified xsi:type="dcterms:W3CDTF">2026-09-15T09:56:53Z</dcterms:modified>
</cp:coreProperties>
</file>