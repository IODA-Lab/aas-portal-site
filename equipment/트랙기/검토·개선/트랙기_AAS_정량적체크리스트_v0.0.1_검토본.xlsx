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Documents\ChatGPT\AAS 제작\work_track_evaluation_20261006\fix\"/>
    </mc:Choice>
  </mc:AlternateContent>
  <xr:revisionPtr revIDLastSave="0" documentId="13_ncr:1_{20B6FF2F-F377-446F-AC43-124B524A6040}" xr6:coauthVersionLast="47" xr6:coauthVersionMax="47" xr10:uidLastSave="{00000000-0000-0000-0000-000000000000}"/>
  <bookViews>
    <workbookView xWindow="1260" yWindow="2865" windowWidth="27210" windowHeight="11295" xr2:uid="{00000000-000D-0000-FFFF-FFFF00000000}"/>
  </bookViews>
  <sheets>
    <sheet name="AAS Model Checklist Information" sheetId="1" r:id="rId1"/>
    <sheet name="AAS Model Checklist" sheetId="2" r:id="rId2"/>
    <sheet name="AAS Model Checklist Result" sheetId="3" r:id="rId3"/>
    <sheet name="Additional Consideration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3" l="1"/>
  <c r="G8" i="3"/>
  <c r="G7" i="3"/>
  <c r="G6" i="3"/>
  <c r="G3" i="3"/>
  <c r="G4" i="3" s="1"/>
  <c r="G10" i="3" l="1"/>
  <c r="H7" i="3"/>
  <c r="H8" i="3"/>
  <c r="H9" i="3"/>
  <c r="G5" i="3"/>
  <c r="H4" i="3" s="1"/>
  <c r="H6" i="3"/>
  <c r="H10" i="3" l="1"/>
  <c r="H3" i="3"/>
  <c r="H5" i="3" s="1"/>
</calcChain>
</file>

<file path=xl/sharedStrings.xml><?xml version="1.0" encoding="utf-8"?>
<sst xmlns="http://schemas.openxmlformats.org/spreadsheetml/2006/main" count="160" uniqueCount="128">
  <si>
    <t>AAS Model Checklist Information</t>
  </si>
  <si>
    <t>분류(대상)</t>
  </si>
  <si>
    <t>정보</t>
  </si>
  <si>
    <t>설명</t>
  </si>
  <si>
    <t>비고</t>
  </si>
  <si>
    <t>기본정보</t>
  </si>
  <si>
    <t>* 본 체크리스트는 2026년 중소기업벤처부 과제공고 기준을 대상으로 제작하였습니다.</t>
  </si>
  <si>
    <t>Id 버전</t>
  </si>
  <si>
    <t>AAS 모델링시 참조한 표준 및 근거자료에 대한 버전을 확인한다.
예시) CDD 버전, eCl@ss 버전, ETIM 버전 등</t>
  </si>
  <si>
    <t>IRDI 관련 내용</t>
  </si>
  <si>
    <t xml:space="preserve">작성하려는 항목의 IRDI가 CDD/eCl@ss에 존재하여야 하며, CDD/eCl@ss에 정의된 내용과 모두 일치해야만 CDD/eCl@ss에서 정의된 Semantic Id를 사용할 수 있다.
(예: 단위, 데이터 타입 등이 일부라도 일치하지 않으면 사용할 수 없다) </t>
  </si>
  <si>
    <t>IRI 양식</t>
  </si>
  <si>
    <r>
      <t xml:space="preserve">
구조 : 
- Submodel: </t>
    </r>
    <r>
      <rPr>
        <u/>
        <sz val="10"/>
        <color theme="1"/>
        <rFont val="맑은 고딕"/>
        <family val="3"/>
      </rPr>
      <t xml:space="preserve">KOSMO 홈페이지주소/ids/sm/AAS명/Submodel명/version
</t>
    </r>
    <r>
      <rPr>
        <sz val="10"/>
        <color theme="1"/>
        <rFont val="맑은 고딕"/>
        <family val="3"/>
      </rPr>
      <t xml:space="preserve">예시) https://www.smart-factory.kr/ids/sm/ACB/TechnicalData/1/0
- Submodel 외 항목: </t>
    </r>
    <r>
      <rPr>
        <u/>
        <sz val="10"/>
        <color theme="1"/>
        <rFont val="맑은 고딕"/>
        <family val="3"/>
      </rPr>
      <t xml:space="preserve">KOSMO 홈페이지주소/ids/카테고리/변수명/version
</t>
    </r>
    <r>
      <rPr>
        <sz val="10"/>
        <color theme="1"/>
        <rFont val="맑은 고딕"/>
        <family val="3"/>
      </rPr>
      <t xml:space="preserve">예시) https://www.smart-factory.kr/ids/cd/TypeOfActuator/1/0
       https://www.smart-factory.kr/ids/aas/ACB/1/0
</t>
    </r>
    <r>
      <rPr>
        <sz val="10"/>
        <color theme="1"/>
        <rFont val="맑은 고딕"/>
        <family val="3"/>
      </rPr>
      <t xml:space="preserve">* IDTA 표준 서브모델 템플릿을 사용한 경우에는 IRI를 변경하지 않고, 그대로 사용해야 한다. 단, 서브모델의 Id는 IDTA에서 정의한 IRI가 있더라도 중기부에서 정의한 구조를 사용해야 한다.
</t>
    </r>
    <r>
      <rPr>
        <b/>
        <sz val="10"/>
        <color rgb="FFFF0000"/>
        <rFont val="맑은 고딕"/>
        <family val="2"/>
      </rPr>
      <t>* AAS와 Submodel에 한하여 administration에 버전 정보를 입력하고 ID 뒷부분 '/version' 과 일치 시킬것</t>
    </r>
    <r>
      <rPr>
        <sz val="10"/>
        <color theme="1"/>
        <rFont val="맑은 고딕"/>
        <family val="3"/>
      </rPr>
      <t xml:space="preserve">
</t>
    </r>
    <r>
      <rPr>
        <sz val="10"/>
        <color theme="1"/>
        <rFont val="맑은 고딕"/>
        <family val="3"/>
      </rPr>
      <t xml:space="preserve">
* 용어설명
sm: Submodel
cd : ConceptDescription
aas : AAS
        </t>
    </r>
  </si>
  <si>
    <t>장비특화 Submodel 구성</t>
  </si>
  <si>
    <r>
      <rPr>
        <b/>
        <sz val="10"/>
        <color theme="1"/>
        <rFont val="맑은 고딕"/>
        <family val="3"/>
      </rPr>
      <t xml:space="preserve">Technical Data 및 Operational Data를 포함한 장비특화 서브모델에서 Property를 추가할 경우 2단계 이상의 계층 세분화가 되어야 한다.
* Technical Data 서브모델 세분화는 IDTA 표준 구조 이후 장비특화 계층이 2단계 이상이어야 한다
</t>
    </r>
    <r>
      <rPr>
        <b/>
        <sz val="10"/>
        <color rgb="FFFF0000"/>
        <rFont val="맑은 고딕"/>
        <family val="3"/>
      </rPr>
      <t>* 각 계층과 컬렉션은 명확한 분류 목적을 가져야 하며, 별도의 모델링 근거 없이 단순히 하위 요소만을 포함하는 중간 SMC는 계층 세분화 요건을 충족하지 않은 것으로 판단함.</t>
    </r>
    <r>
      <rPr>
        <b/>
        <sz val="10"/>
        <color rgb="FF0070C0"/>
        <rFont val="맑은 고딕"/>
        <family val="2"/>
      </rPr>
      <t xml:space="preserve">
</t>
    </r>
  </si>
  <si>
    <t>체크리스트
참조/공통체크사항</t>
  </si>
  <si>
    <t>idShort 설정여부</t>
  </si>
  <si>
    <r>
      <t>idShort가 설정되어 있는지 확인한다.
* Naming rule/Convention (권고사항)
① 공백, 특수문</t>
    </r>
    <r>
      <rPr>
        <sz val="10"/>
        <color theme="1"/>
        <rFont val="맑은 고딕"/>
        <family val="3"/>
      </rPr>
      <t xml:space="preserve">자(‘_’, underbar, </t>
    </r>
    <r>
      <rPr>
        <sz val="10"/>
        <color rgb="FFFF0000"/>
        <rFont val="맑은 고딕"/>
        <family val="3"/>
      </rPr>
      <t xml:space="preserve">‘-‘, hyphen </t>
    </r>
    <r>
      <rPr>
        <sz val="10"/>
        <color theme="1"/>
        <rFont val="맑은 고딕"/>
        <family val="3"/>
      </rPr>
      <t>제외)를</t>
    </r>
    <r>
      <rPr>
        <sz val="10"/>
        <color rgb="FF000000"/>
        <rFont val="맑은 고딕"/>
        <family val="3"/>
      </rPr>
      <t xml:space="preserve"> 포함하지 않음
② 일관된 표기법 사용 / 예) 모든 단어를 띄어쓰기 없이 대문자로 시작
예시) "Rated voltage" -&gt; "RatedVoltage" 또는 "Rated_Voltage" 등등</t>
    </r>
  </si>
  <si>
    <t>Id</t>
  </si>
  <si>
    <t>각 항목의 Id 양식을 확인하고, IRDI 형식인지 IRI 형식인지 구분한다.
IRDI인 경우, 해당 항목이 CDD/Ecl@ss에 존재하여야 한다.
IRI인 경우, 정해진 양식을 준수하고 있는지 확인한다.</t>
  </si>
  <si>
    <t>description 또는 definition 여부</t>
  </si>
  <si>
    <t>해당 항목에 대한 description 또는 definition이 작성되어 있는지 확인한다.
모든 서브모델 엘리먼트는 시맨틱 정보를 정의하는 정상적인 Concept Description(CD)을 가져야 함 
정상적인 CD란 Preferred Name, Definition를 필수 포함하고, 선택적으로 적절한 DataType, Unit이 포함되어야 함 
단, Definition의 경우 영문으로 작성된 정의는 반드시 포함되어야 함</t>
  </si>
  <si>
    <t>기타</t>
  </si>
  <si>
    <r>
      <t xml:space="preserve">① IDTA가 배포한 서브모델 내부에 자체적으로 포함되어 있는 오류에 대해서는 수정하지 않아야 한다.
예시) IRDI 2개 포함, definition 미작성 등 
② Ecl@ss, CDD에서 정의되어 있지 않은 definition은 자체적으로 정의하지 않고 그대로 사용하여야 한다.
</t>
    </r>
    <r>
      <rPr>
        <sz val="10"/>
        <color theme="1"/>
        <rFont val="맑은 고딕"/>
        <family val="3"/>
      </rPr>
      <t>③ Property의 완성도 및 충실도에 대한 정성적 평가를 진행한다. 즉, 본 체크리스트를 통해 정량적으로 평가하지는 않지만, 이후 전문가들에 의해 Property 개수, Property 의미 등이 정성적으로 평가될 예정이다.</t>
    </r>
    <r>
      <rPr>
        <sz val="10"/>
        <color theme="1"/>
        <rFont val="맑은 고딕"/>
        <family val="3"/>
      </rPr>
      <t xml:space="preserve">
</t>
    </r>
    <r>
      <rPr>
        <b/>
        <sz val="10"/>
        <color theme="1"/>
        <rFont val="맑은 고딕"/>
        <family val="3"/>
      </rPr>
      <t>④ Technical Data, Operational Data 서브모델 포함(단, Digital Nameplate, Handover Documentation 서브모델 제외) "설비/장비의 특징을 반영하는" 최소 4개 서브모델에 대해서는, 장비 특화 추가 프로퍼티 항목에 대한 value example을  참조모델 및 활용 가이던스 문서에 제시해야 한다.</t>
    </r>
    <r>
      <rPr>
        <sz val="10"/>
        <color theme="1"/>
        <rFont val="맑은 고딕"/>
        <family val="3"/>
      </rPr>
      <t xml:space="preserve">
</t>
    </r>
    <r>
      <rPr>
        <sz val="10"/>
        <color theme="1"/>
        <rFont val="맑은 고딕"/>
        <family val="2"/>
      </rPr>
      <t>⑤ 모</t>
    </r>
    <r>
      <rPr>
        <sz val="10"/>
        <color theme="1"/>
        <rFont val="맑은 고딕"/>
        <family val="3"/>
      </rPr>
      <t>델 제출 시에는 "「AAS 제조데이터 표준 참조모델 사전 검증 보고서」 작성 요령"에 따라 사전 검증보고서를 제출하여야 한다.</t>
    </r>
  </si>
  <si>
    <t>AAS Model 정량적 검토 Checklist</t>
  </si>
  <si>
    <t>번호</t>
  </si>
  <si>
    <t>중요도</t>
  </si>
  <si>
    <t>체크사항</t>
  </si>
  <si>
    <t>체크</t>
  </si>
  <si>
    <t>비고 (검토의견)</t>
  </si>
  <si>
    <t>기본사항</t>
  </si>
  <si>
    <t>필수</t>
  </si>
  <si>
    <t>Thumnail</t>
  </si>
  <si>
    <t>AASX 파일에 Thumbnail 이미지가 포함되어 있으며, AssetInformation의 defaultThumbnail에 동일한 경로가 설정되어 있는지 확인한다.</t>
  </si>
  <si>
    <t>충족. /aasx/Thumbnail.png가 패키지에 존재하고 defaultThumbnail 경로와 일치. 트랙기의 웨이퍼 투입부·코팅/현상 모듈을 표현한 예시 이미지 확인.</t>
  </si>
  <si>
    <t>공통</t>
  </si>
  <si>
    <t>idShort가 설정되어 있는지 확인한다.</t>
  </si>
  <si>
    <t>충족. Submodel 7개·SME 616개 대조. idShort 생략은 SML 직속 항목에 한정하며 순서 인덱스로 식별한다.</t>
  </si>
  <si>
    <t>idShort 명명규칙</t>
  </si>
  <si>
    <r>
      <rPr>
        <b/>
        <sz val="10"/>
        <rFont val="맑은 고딕"/>
        <family val="3"/>
      </rPr>
      <t>idShort가 정의된 양식을 준수하고 있는지 확인한다.
※ 예외사항</t>
    </r>
    <r>
      <rPr>
        <b/>
        <sz val="10"/>
        <color theme="1"/>
        <rFont val="맑은 고딕"/>
        <family val="3"/>
      </rPr>
      <t xml:space="preserve">
</t>
    </r>
    <r>
      <rPr>
        <b/>
        <sz val="10"/>
        <color rgb="FFFF0000"/>
        <rFont val="맑은 고딕"/>
        <family val="3"/>
      </rPr>
      <t>Submodel Element List의 하위에 속하는 Submodel Element는 idShort를 작성하지 않아도 되며, 작성하는 경우 명명규칙을 준수하여야 함</t>
    </r>
  </si>
  <si>
    <t>충족. idShort 영문 시작 및 영문·숫자·밑줄 규칙 확인. 같은 부모 아래 이름 중복 0건. 공식 목록 항목의 빈 idShort 유지.</t>
  </si>
  <si>
    <t>AAS</t>
  </si>
  <si>
    <r>
      <rPr>
        <sz val="10"/>
        <rFont val="맑은 고딕"/>
        <family val="3"/>
      </rPr>
      <t xml:space="preserve">각 항목의 Id 양식을 확인하고, IRDI 형식인지 IRI 형식인지 구분한다.
IRI인 경우, 정해진 양식을 준수하고 있는지 확인한다.
</t>
    </r>
    <r>
      <rPr>
        <b/>
        <sz val="10"/>
        <color rgb="FFFF0000"/>
        <rFont val="맑은 고딕"/>
        <family val="3"/>
      </rPr>
      <t>* administration에 버전 정보를 입력하고 ID 뒷부분 '/version' 과 일치 시킬것</t>
    </r>
  </si>
  <si>
    <t>충족. AAS ID는 https://www.smart-factory.kr/ids/aas/PhotolithographyTrackEquipment/0/1. administration version=0, revision=1과 ID 끝 /0/1 일치. 제출 파일명 버전은 v0.0.1.</t>
  </si>
  <si>
    <t>Submodel 구성</t>
  </si>
  <si>
    <r>
      <rPr>
        <sz val="10"/>
        <rFont val="맑은 고딕"/>
        <family val="3"/>
      </rPr>
      <t>AAS 모델링에서 필수적인 성격을 지닌 아래의 4가지 Submodel이 포함되어 있으며</t>
    </r>
    <r>
      <rPr>
        <b/>
        <sz val="10"/>
        <color theme="1"/>
        <rFont val="맑은 고딕"/>
        <family val="3"/>
      </rPr>
      <t xml:space="preserve"> 총 6종 이상 8종 이하의 Submodel로 구성되어 있는지 확인한다.</t>
    </r>
    <r>
      <rPr>
        <sz val="10"/>
        <color theme="1"/>
        <rFont val="맑은 고딕"/>
        <family val="3"/>
      </rPr>
      <t xml:space="preserve">
① </t>
    </r>
    <r>
      <rPr>
        <b/>
        <sz val="10"/>
        <color theme="1"/>
        <rFont val="맑은 고딕"/>
        <family val="3"/>
      </rPr>
      <t>Digital Nameplate</t>
    </r>
    <r>
      <rPr>
        <sz val="10"/>
        <color theme="1"/>
        <rFont val="맑은 고딕"/>
        <family val="3"/>
      </rPr>
      <t xml:space="preserve">, ② </t>
    </r>
    <r>
      <rPr>
        <b/>
        <sz val="10"/>
        <color theme="1"/>
        <rFont val="맑은 고딕"/>
        <family val="3"/>
      </rPr>
      <t>Handover Documentation,</t>
    </r>
    <r>
      <rPr>
        <sz val="10"/>
        <color theme="1"/>
        <rFont val="맑은 고딕"/>
        <family val="3"/>
      </rPr>
      <t xml:space="preserve">
③ Technical Data, ④ </t>
    </r>
    <r>
      <rPr>
        <sz val="10"/>
        <color theme="1"/>
        <rFont val="맑은 고딕"/>
        <family val="3"/>
      </rPr>
      <t>Operational Data</t>
    </r>
  </si>
  <si>
    <t>충족. 필수 Nameplate·HandoverDocumentation·TechnicalData·OperationalData 포함 총 7종. 추가 TimeSeries·ProcessParameters·PredictiveMaintenance. KPI 없음.</t>
  </si>
  <si>
    <t>옵션</t>
  </si>
  <si>
    <t>globalAssetId 여부</t>
  </si>
  <si>
    <t>globalAssetId가 설정되어 있는지 확인한다.</t>
  </si>
  <si>
    <t>충족. globalAssetId=https://www.smart-factory.kr/ids/asset/PhotolithographyTrackEquipment/1/0. 장비 유형명을 포함한다. 전세계 등록 중복 검증과는 구분.</t>
  </si>
  <si>
    <t>Type종류</t>
  </si>
  <si>
    <t>'kind'가 'Type'으로 지정되어 있는지 확인한다.</t>
  </si>
  <si>
    <t>충족. AssetInformation의 assetKind=Type.</t>
  </si>
  <si>
    <t>Submodel</t>
  </si>
  <si>
    <t>최신 Version 여부</t>
  </si>
  <si>
    <t>IDTA 서브모델 템플릿을 활용하는 경우, 최신 버전의 템플릿을 사용하고 있는지 확인한다.</t>
  </si>
  <si>
    <t>충족. 2026-10-06 공식 Published 목록 및 파일 해시 대조: Nameplate 3.0.2, Handover 2.0.2, TechnicalData 2.0.2, TimeSeries 1.1.2, ProcessParameters 1.0, PredictiveMaintenance 1.0. 메타모델 3.0 호환 배포본 사용. 표준 버전과 제출본 v0.0.1은 별개.</t>
  </si>
  <si>
    <t>충족. 7개 SM ID에 PhotolithographyTrackEquipment와 SM명을 포함. 각 administration version/revision과 ID 끝 경로 일치, 파일 내 중복 없음.</t>
  </si>
  <si>
    <t>Semantic ID</t>
  </si>
  <si>
    <r>
      <rPr>
        <sz val="10"/>
        <rFont val="맑은 고딕"/>
        <family val="3"/>
      </rPr>
      <t xml:space="preserve">Semantic ID가 작성되어 있는지 확인한다. 
</t>
    </r>
    <r>
      <rPr>
        <sz val="10"/>
        <color theme="1"/>
        <rFont val="맑은 고딕"/>
        <family val="3"/>
      </rPr>
      <t>표준 서브모델이 아닌 경우, 적절한 형식의 IRI 식별자인지 확인한다.</t>
    </r>
  </si>
  <si>
    <t>kind</t>
  </si>
  <si>
    <t>'kind'가 'Template'으로 지정되어 있는지 확인한다</t>
  </si>
  <si>
    <t>충족. 7개 Submodel 모두 kind=Template.</t>
  </si>
  <si>
    <t>계층 세분화</t>
  </si>
  <si>
    <r>
      <rPr>
        <b/>
        <sz val="10"/>
        <rFont val="맑은 고딕"/>
        <family val="3"/>
      </rPr>
      <t xml:space="preserve">장비 특화 프로퍼티를 포함하는 서브모델이 2단계 이상의 계층 세분화가 되었는지 확인한다.
※ 예외사항
* IDTA 기본 템플릿은 계층 세분화에서 제외하며, Technical Data 서브모델의 경우 표준 구조 이외 세분화가 2단계 이상이어야 한다.
</t>
    </r>
    <r>
      <rPr>
        <b/>
        <sz val="10"/>
        <color rgb="FFFF0000"/>
        <rFont val="맑은 고딕"/>
        <family val="3"/>
      </rPr>
      <t>* 각 계층과 컬렉션은 명확한 분류 목적을 가져야 하며, 별도의 모델링 근거 없이 단순히 하위 요소만을 포함하는 중간 SMC는 계층 세분화 요건을 충족하지 않은 것으로 판단함.</t>
    </r>
  </si>
  <si>
    <t>충족. TechnicalData는 공식 영역 아래 계통·사양 묶음, OperationalData는 계통·현재값 묶음으로 분류. ProcessParameters는 제품 목표·공정 설정을 기능별로 구분. 공식 표준 구조의 단계 수를 자체 계층으로 중복 계산하지 않음.</t>
  </si>
  <si>
    <t xml:space="preserve">SME
(Submodel Element) </t>
  </si>
  <si>
    <t>특수 SME 배제 여부</t>
  </si>
  <si>
    <r>
      <rPr>
        <b/>
        <sz val="10"/>
        <rFont val="맑은 고딕"/>
        <family val="3"/>
      </rPr>
      <t xml:space="preserve">AAS 참조모델 개발 시 사용을 지양하는 Operation, BasicEventElement, </t>
    </r>
    <r>
      <rPr>
        <b/>
        <sz val="10"/>
        <color rgb="FFFF0000"/>
        <rFont val="맑은 고딕"/>
        <family val="3"/>
      </rPr>
      <t xml:space="preserve">Capability </t>
    </r>
    <r>
      <rPr>
        <b/>
        <sz val="10"/>
        <color theme="1"/>
        <rFont val="맑은 고딕"/>
        <family val="3"/>
      </rPr>
      <t>엘리먼트가 사용되지 않았는지 확인한다.</t>
    </r>
  </si>
  <si>
    <t>충족. Operation·BasicEventElement·Capability 사용 0개.</t>
  </si>
  <si>
    <t>Concept Description 매핑여부</t>
  </si>
  <si>
    <t xml:space="preserve">Submodel Elements가 Concept Description과 올바르게 매핑되어 있는지 확인한다 </t>
  </si>
  <si>
    <t>충족(공식 원본 보존 예외 적용). 자체 요소 CD 미연결 0건. 공식 원본과 동일한 미연결 13곳(고유 식별자 8종)은 임의 생성·치환하지 않음. Nameplate 5곳, PM 8곳이며 상세 경로는 Additional Considerations에 기록. Validator CD 매핑 Passed는 표준 SM 6종 검사 제외 조건의 결과이며, 미연결이 전혀 없다는 뜻이 아니다. #17의 CD ID 형식 판정과 구분.</t>
  </si>
  <si>
    <t>SME 중
Property</t>
  </si>
  <si>
    <t>value 값 여부</t>
  </si>
  <si>
    <r>
      <rPr>
        <b/>
        <sz val="10"/>
        <rFont val="맑은 고딕"/>
        <family val="3"/>
      </rPr>
      <t xml:space="preserve">value값에 Example Data가 기입 되었는지 확인한다. 
</t>
    </r>
    <r>
      <rPr>
        <b/>
        <sz val="10"/>
        <color rgb="FFFF0000"/>
        <rFont val="맑은 고딕"/>
        <family val="3"/>
      </rPr>
      <t>* DigitalNameplate, HandoverDocumentation 제외</t>
    </r>
  </si>
  <si>
    <t>충족. Property 369개 모두 예시값 있음(빈 값 0개). 숫자형 파싱 확인. 현재 소비전력·시계열 38 kW 일치. 선택 참조 SMAIModelNamePlate의 미적용은 Property 값 누락과 구분.</t>
  </si>
  <si>
    <t>Concept Description과 
data type 매칭여부</t>
  </si>
  <si>
    <t>valueType이 설정되어야 하며, 
연결된 Concept Description의 dataType과 매칭되는 데이터 타입으로 설정되어야 한다</t>
  </si>
  <si>
    <t>충족(공식 원본 예외 적용). 자체 Property/CD 자료형 대응 이상 없음. PM 숫자형 Property와 CD STRING 불일치 27곳은 공식 템플릿의 동일 구조·자료형과 대조됨. 가이드라인의 원본 오류 임의 수정 금지에 따라 보존. 자동검사가 이 27곳을 검증했다는 의미는 아님.</t>
  </si>
  <si>
    <t>ConceptDescription</t>
  </si>
  <si>
    <t>각 항목의 Id 양식을 확인하고, IRDI 형식인지 IRI 형식인지 구분한다.
* IRDI인 경우, 해당 항목이 CDD/Ecl@ss에 존재하여야 한다.
* IRI인 경우, 정해진 양식을 준수하고 있는지 확인한다.</t>
  </si>
  <si>
    <t>definition 여부</t>
  </si>
  <si>
    <t>해당 항목에 대한 definition이 작성되어 있는지 확인한다.
* description이 작성되어 있는 경우도 포함</t>
  </si>
  <si>
    <t>충족. CD 343개에 definition 존재, 자체 CD 영문 정의 확인. 공식 정의의 내용은 배포 원본을 보존. 자체 지수의 현장 계산식·판정 한계는 실제 적용 시 구체화할 사항.</t>
  </si>
  <si>
    <t>dataType 설정여부</t>
  </si>
  <si>
    <t>Concept Description의 dataType이 설정되어 있는지 확인한다
* eCl@ss/CDD에서 dataType이 정의되어 있지 않은 경우는 제외</t>
  </si>
  <si>
    <t>충족(공식 원본 예외 적용). 자체 Property용 CD dataType 존재·대응 확인. 표준 CD는 원본 그대로 사용. PM 숫자형/STRING 27곳은 #16 및 추가 검토사항에 예외 기록.</t>
  </si>
  <si>
    <t>- IDTA가 배포한 서브모델 내부에 자체적으로 포함되어 있는 오류에 대해서는 수정하지 않아야 한다.
- Ecl@ss, CDD에서 정의되어 있지 않은 definition은 자체적으로 정의하지 않고 그대로 사용하여야 한다.
- Property의 완성도 및 충실도에 대한 정성적 평가를 진행한다. 즉, 본 체크리스트를 통해 정량적으로 평가하지는 않지만, 이후 전문가들에 의해 Property 개수, Property 의미 등이 정성적으로 평가될 예정이다.</t>
  </si>
  <si>
    <t>합계</t>
  </si>
  <si>
    <t>AAS Model Checklist Result</t>
  </si>
  <si>
    <t>분류</t>
  </si>
  <si>
    <t>기준항목</t>
  </si>
  <si>
    <t>세부항목</t>
  </si>
  <si>
    <t>개수</t>
  </si>
  <si>
    <t>%</t>
  </si>
  <si>
    <t>단순통계</t>
  </si>
  <si>
    <t>충족</t>
  </si>
  <si>
    <t>미충족</t>
  </si>
  <si>
    <t>-</t>
  </si>
  <si>
    <t>'중요도'기준 통계</t>
  </si>
  <si>
    <r>
      <rPr>
        <sz val="10"/>
        <color rgb="FF000000"/>
        <rFont val="맑은 고딕"/>
        <family val="3"/>
      </rPr>
      <t xml:space="preserve">"필수" 中 </t>
    </r>
    <r>
      <rPr>
        <sz val="10"/>
        <color rgb="FF000000"/>
        <rFont val="Wingdings"/>
        <family val="2"/>
      </rPr>
      <t></t>
    </r>
  </si>
  <si>
    <t>필수 체크사항 충족 항목</t>
  </si>
  <si>
    <r>
      <rPr>
        <sz val="10"/>
        <color rgb="FF000000"/>
        <rFont val="맑은 고딕"/>
        <family val="3"/>
      </rPr>
      <t xml:space="preserve">"필수" 中 </t>
    </r>
    <r>
      <rPr>
        <sz val="10"/>
        <color rgb="FF000000"/>
        <rFont val="Wingdings"/>
        <family val="2"/>
      </rPr>
      <t></t>
    </r>
  </si>
  <si>
    <t>필수 체크사항 불충족 항목</t>
  </si>
  <si>
    <r>
      <rPr>
        <sz val="10"/>
        <color rgb="FF000000"/>
        <rFont val="맑은 고딕"/>
        <family val="3"/>
      </rPr>
      <t xml:space="preserve">"옵션" 中 </t>
    </r>
    <r>
      <rPr>
        <sz val="10"/>
        <color rgb="FF000000"/>
        <rFont val="Wingdings"/>
        <family val="2"/>
      </rPr>
      <t></t>
    </r>
  </si>
  <si>
    <t>옵션 체크사항 충족 항목</t>
  </si>
  <si>
    <r>
      <rPr>
        <sz val="10"/>
        <color rgb="FF000000"/>
        <rFont val="맑은 고딕"/>
        <family val="3"/>
      </rPr>
      <t xml:space="preserve">"옵션" 中 </t>
    </r>
    <r>
      <rPr>
        <sz val="10"/>
        <color rgb="FF000000"/>
        <rFont val="Wingdings"/>
        <family val="2"/>
      </rPr>
      <t></t>
    </r>
  </si>
  <si>
    <t>옵션 체크사항 불충족 항목</t>
  </si>
  <si>
    <t>총 체크사항</t>
  </si>
  <si>
    <t>※ "AAS Model Checklist" sheet에서 각 체크사항에 대해 충족/불충족 항목들에 대한 개수를 정리한 시트입니다.</t>
  </si>
  <si>
    <t>추가 검토사항</t>
  </si>
  <si>
    <t>1. 검토자</t>
  </si>
  <si>
    <t>2. 소속</t>
  </si>
  <si>
    <t>3. 검토일</t>
  </si>
  <si>
    <t>2026-10-06</t>
  </si>
  <si>
    <t>4. 검토사항</t>
  </si>
  <si>
    <t>5. 기타사항</t>
  </si>
  <si>
    <t>검토자·소속은 공란. 본 평가는 현재 파일 기준이며 실제 설비 성능·예측 정확도·인증·외부 서비스 연결을 검증한 결과가 아님.</t>
  </si>
  <si>
    <t>충족. 공식 6개 SM semanticId는 Published 원본과 일치. 자체 OperationalData는 트랙기 고유 IRI. 자체 CD ID 형식 수정 및 연결 확인은 #17에 기록.</t>
  </si>
  <si>
    <t>충족(수정 후 수동 확인 및 공식 IRI 오판 예외 적용). 자체 DispenseVolumeDriftIndex의 불필요한 PredictiveMaintenance/ 경로를 삭제해 /ids/cd/DispenseVolumeDriftIndex/1/0으로 CD ID·SME semanticId·계획서·가이던스를 동기화했다. UtcTime은 IDTA 02008-1-1 p.29 §2.4에 명시된 공식 IRI이므로 자체 IRI 형식을 요구한 Validator 지적은 오판이다. 공식 IRI를 바꾸면 표준 의미 식별자와 달라지므로 유지한다. 기존 HTML은 수정 전 69 Passed·1 Failed 결과이며 수정 후 Validator 재실행 결과가 아니다.</t>
  </si>
  <si>
    <t>검토 기준: PhotolithographyTrackEquipment_AAS_v0.0.1.aasx / 2026-10-06 IRI 수정 후 수동 재검토. 제공 Validator HTML은 수정 전 결과. 수정 후 SHA-256 및 상세 판정은 Additional Considerations 참조.</t>
  </si>
  <si>
    <t>충족 19개. 실제 오류 수정 및 공식 원본 예외 근거 반영.</t>
  </si>
  <si>
    <t>미충족 0개. 수정 후 수동 확인 기준.</t>
  </si>
  <si>
    <t>총 19개. Validator 재실행 통과를 의미하지 않음.</t>
  </si>
  <si>
    <t>수정 후 검토 기준: PhotolithographyTrackEquipment_AAS_v0.0.1.aasx
SHA-256: a082f2c75414a697c2e69af456c8c917920119383322ce938e873a5b2197a80b
기존 증빙 20261006223546_test_result.html은 수정 전 파일의 69 Passed·1 Failed(KOSMO-CD #2, 식별자 2건) 결과다. HTML은 변경하지 않았으며 수정 후 Validator는 재실행하지 않았다.
자체 IRI 1건을 수정하고 CD/SME 연결 및 계획서·가이던스 정합성을 수동 확인했다. 공식 UtcTime IRI 지적은 오판으로 판단해 원본 유지 및 충족 처리했다. 정량 19/19(100%). 자동검사 증빙과 수정 후 수동 판정은 구분한다.</t>
  </si>
  <si>
    <t>[실제 오류 수정 완료]
DispenseVolumeDriftIndex의 자체 IRI에서 PredictiveMaintenance/ 경로를 삭제했다. 최종값: https://www.smart-factory.kr/ids/cd/DispenseVolumeDriftIndex/1/0. CD ID와 OperationalData의 해당 semanticId 1곳, 계획서·가이던스 표를 함께 수정했다. 가이드라인 자체 IRI 규칙 2의 category/variable/version/revision 형식 및 CD 연결을 수동 확인했다.
[Validator 오판: 충족]
https://admin-shell.io/idta/TimeSeries/UtcTime/1/1은 IDTA 02008-1-1 §2.4 p.29의 공식 식별자다. KOSMO-CD #2는 이를 자체 smart-factory IRI 형식과 비교해 오류 처리했다. 자체 규칙을 공식 IRI에 적용한 오판이므로 공식값과 xs:dateTime/TIMESTAMP를 유지한다. 임의 치환하면 공식 표준의 의미 식별자와 달라진다.
[공식 원본 수동 대조]
표준 SM 6종은 자동검사 제외 대상이다. 공식 정의 요소 182/182 대응은 반복 항목 정규화 및 작성용 자리표시자 제외 기준. SME 616개, Property 369개, CD 343개는 유지했다. 원본 동일 CD 미연결 13곳은 Nameplate의 AddressInformation·Markings·AssetSpecificProperties·GuidelineSpecificProperties·목록 [0](5곳), PM의 RemainingUsefulLifetime·ConditionName[0..5]·ListPreAlerts(8곳). PM 숫자형/STRING 27곳도 공식 원본 동일이므로 보존 예외로 충족 처리했다.
[출처 및 증빙]
AAS 모델링가이드라인 V2.1.1: 자체 IRI 규칙 2, 공식 식별자 유지, 원본 오류 보존.
https://github.com/admin-shell-io/submodel-templates/tree/main/published
https://industrialdigitaltwin.org/wp-content/uploads/2023/03/IDTA-02008-1-1_Submodel_TimeSeriesData.pdf (p.29).
기존 HTML은 수정 전 증빙이며 수정 후 자동검사 통과로 바꾸어 기재하지 않는다.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</si>
</sst>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맑은 고딕"/>
    </font>
    <font>
      <sz val="11"/>
      <color theme="1"/>
      <name val="맑은 고딕"/>
      <family val="3"/>
    </font>
    <font>
      <b/>
      <sz val="10"/>
      <color theme="0"/>
      <name val="맑은 고딕"/>
      <family val="3"/>
    </font>
    <font>
      <sz val="10"/>
      <color theme="1"/>
      <name val="맑은 고딕"/>
      <family val="3"/>
    </font>
    <font>
      <b/>
      <sz val="10"/>
      <color theme="1"/>
      <name val="맑은 고딕"/>
      <family val="3"/>
    </font>
    <font>
      <sz val="10"/>
      <color rgb="FF000000"/>
      <name val="맑은 고딕"/>
      <family val="3"/>
    </font>
    <font>
      <sz val="10"/>
      <color theme="1"/>
      <name val="Arial Unicode MS"/>
    </font>
    <font>
      <sz val="10"/>
      <color theme="1"/>
      <name val="맑은 고딕"/>
      <family val="3"/>
    </font>
    <font>
      <b/>
      <sz val="14"/>
      <color theme="0"/>
      <name val="맑은 고딕"/>
      <family val="3"/>
    </font>
    <font>
      <sz val="10"/>
      <color theme="1"/>
      <name val="Wingdings"/>
      <charset val="2"/>
    </font>
    <font>
      <sz val="10"/>
      <color theme="1"/>
      <name val="맑은 고딕"/>
      <family val="3"/>
    </font>
    <font>
      <sz val="11"/>
      <color rgb="FF00B050"/>
      <name val="맑은 고딕"/>
      <family val="3"/>
    </font>
    <font>
      <sz val="10"/>
      <color rgb="FF00B050"/>
      <name val="맑은 고딕"/>
      <family val="3"/>
    </font>
    <font>
      <sz val="11"/>
      <color rgb="FF00B050"/>
      <name val="맑은 고딕"/>
      <family val="3"/>
    </font>
    <font>
      <sz val="11"/>
      <name val="맑은 고딕"/>
      <family val="3"/>
    </font>
    <font>
      <b/>
      <sz val="11"/>
      <color theme="1"/>
      <name val="맑은 고딕"/>
      <family val="3"/>
    </font>
    <font>
      <b/>
      <sz val="16"/>
      <color theme="0"/>
      <name val="맑은 고딕"/>
      <family val="3"/>
    </font>
    <font>
      <sz val="10"/>
      <color theme="1"/>
      <name val="맑은 고딕"/>
      <family val="3"/>
    </font>
    <font>
      <b/>
      <sz val="10"/>
      <color theme="1"/>
      <name val="Arial Unicode MS"/>
    </font>
    <font>
      <b/>
      <sz val="10"/>
      <color rgb="FF0070C0"/>
      <name val="맑은 고딕"/>
      <family val="3"/>
    </font>
    <font>
      <b/>
      <sz val="10"/>
      <color rgb="FFFF0000"/>
      <name val="맑은 고딕"/>
      <family val="3"/>
    </font>
    <font>
      <u/>
      <sz val="10"/>
      <color theme="1"/>
      <name val="맑은 고딕"/>
      <family val="3"/>
    </font>
    <font>
      <b/>
      <sz val="10"/>
      <color rgb="FFFF0000"/>
      <name val="맑은 고딕"/>
      <family val="2"/>
    </font>
    <font>
      <b/>
      <sz val="10"/>
      <color rgb="FF0070C0"/>
      <name val="맑은 고딕"/>
      <family val="2"/>
    </font>
    <font>
      <sz val="10"/>
      <color rgb="FFFF0000"/>
      <name val="맑은 고딕"/>
      <family val="3"/>
    </font>
    <font>
      <sz val="10"/>
      <color theme="1"/>
      <name val="맑은 고딕"/>
      <family val="2"/>
    </font>
    <font>
      <b/>
      <sz val="10"/>
      <name val="맑은 고딕"/>
      <family val="3"/>
    </font>
    <font>
      <sz val="10"/>
      <name val="맑은 고딕"/>
      <family val="3"/>
    </font>
    <font>
      <sz val="10"/>
      <color rgb="FF000000"/>
      <name val="Wingdings"/>
      <family val="2"/>
    </font>
    <font>
      <b/>
      <sz val="10"/>
      <color rgb="FF000000"/>
      <name val="맑은 고딕"/>
      <family val="3"/>
    </font>
    <font>
      <sz val="10"/>
      <color theme="1"/>
      <name val="맑은 고딕"/>
      <family val="3"/>
    </font>
    <font>
      <sz val="8"/>
      <name val="돋움"/>
      <family val="3"/>
      <charset val="129"/>
    </font>
  </fonts>
  <fills count="7">
    <fill>
      <patternFill patternType="none"/>
    </fill>
    <fill>
      <patternFill patternType="gray125"/>
    </fill>
    <fill>
      <patternFill patternType="solid">
        <fgColor rgb="FFFFFFCC"/>
      </patternFill>
    </fill>
    <fill>
      <patternFill patternType="solid">
        <fgColor rgb="FF0000FF"/>
      </patternFill>
    </fill>
    <fill>
      <patternFill patternType="solid">
        <fgColor rgb="FFC0CCFF"/>
      </patternFill>
    </fill>
    <fill>
      <patternFill patternType="solid">
        <fgColor theme="0" tint="-0.14999847407452621"/>
        <bgColor indexed="65"/>
      </patternFill>
    </fill>
    <fill>
      <patternFill patternType="solid">
        <fgColor rgb="FFFFFFCC"/>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2">
    <xf numFmtId="0" fontId="0" fillId="0" borderId="0">
      <alignment vertical="center"/>
    </xf>
    <xf numFmtId="0" fontId="1" fillId="2" borderId="1" applyNumberFormat="0" applyFont="0" applyAlignment="0" applyProtection="0">
      <alignment vertical="center"/>
    </xf>
  </cellStyleXfs>
  <cellXfs count="80">
    <xf numFmtId="0" fontId="0" fillId="0" borderId="0" xfId="0">
      <alignment vertical="center"/>
    </xf>
    <xf numFmtId="0" fontId="4" fillId="4" borderId="2" xfId="0" applyFont="1" applyFill="1" applyBorder="1" applyAlignment="1">
      <alignment horizontal="center" vertical="center"/>
    </xf>
    <xf numFmtId="0" fontId="4" fillId="4" borderId="2" xfId="0" applyFont="1" applyFill="1" applyBorder="1" applyAlignment="1">
      <alignment horizontal="center" vertical="center" wrapText="1"/>
    </xf>
    <xf numFmtId="0" fontId="4" fillId="5" borderId="2" xfId="0" applyFont="1" applyFill="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left" vertical="center" wrapText="1"/>
    </xf>
    <xf numFmtId="0" fontId="5" fillId="0" borderId="2" xfId="0" applyFont="1" applyBorder="1" applyAlignment="1">
      <alignment horizontal="left" vertical="center" wrapText="1"/>
    </xf>
    <xf numFmtId="0" fontId="3" fillId="0" borderId="0" xfId="0" applyFont="1">
      <alignment vertical="center"/>
    </xf>
    <xf numFmtId="0" fontId="4" fillId="0" borderId="2" xfId="0" applyFont="1" applyBorder="1" applyAlignment="1">
      <alignment horizontal="center" vertical="center"/>
    </xf>
    <xf numFmtId="0" fontId="3" fillId="0" borderId="2" xfId="0" applyFont="1" applyBorder="1" applyAlignment="1">
      <alignment horizontal="center" vertical="center" wrapText="1"/>
    </xf>
    <xf numFmtId="0" fontId="7" fillId="0" borderId="2" xfId="0" applyFont="1" applyBorder="1" applyAlignment="1">
      <alignment horizontal="center" vertical="center"/>
    </xf>
    <xf numFmtId="0" fontId="7" fillId="0" borderId="0" xfId="0" applyFont="1">
      <alignment vertical="center"/>
    </xf>
    <xf numFmtId="0" fontId="2" fillId="0" borderId="0" xfId="0" applyFont="1">
      <alignment vertical="center"/>
    </xf>
    <xf numFmtId="0" fontId="7" fillId="2" borderId="2" xfId="1" applyFont="1" applyBorder="1" applyAlignment="1">
      <alignment horizontal="center" vertical="center"/>
    </xf>
    <xf numFmtId="0" fontId="7" fillId="2" borderId="2" xfId="1" applyFont="1" applyBorder="1" applyAlignment="1">
      <alignment horizontal="center" vertical="center" wrapText="1"/>
    </xf>
    <xf numFmtId="0" fontId="3" fillId="0" borderId="2" xfId="0" applyFont="1" applyBorder="1" applyAlignment="1">
      <alignment horizontal="center" vertical="center" wrapText="1"/>
      <extLst>
        <ext xmlns:xfpb="http://schemas.microsoft.com/office/spreadsheetml/2022/featurepropertybag" uri="{C7286773-470A-42A8-94C5-96B5CB345126}">
          <xfpb:xfComplement i="0"/>
        </ext>
      </extLst>
    </xf>
    <xf numFmtId="0" fontId="6" fillId="0" borderId="0" xfId="0" applyFont="1">
      <alignment vertical="center"/>
    </xf>
    <xf numFmtId="0" fontId="0" fillId="0" borderId="0" xfId="0" applyAlignment="1">
      <alignment vertical="center" wrapText="1"/>
    </xf>
    <xf numFmtId="0" fontId="10" fillId="0" borderId="0" xfId="0" applyFont="1" applyAlignment="1">
      <alignment vertical="center" wrapText="1"/>
    </xf>
    <xf numFmtId="0" fontId="7" fillId="0" borderId="0" xfId="0" applyFont="1" applyAlignment="1">
      <alignment vertical="center" wrapText="1"/>
    </xf>
    <xf numFmtId="0" fontId="0" fillId="0" borderId="0" xfId="0" applyAlignment="1">
      <alignment horizontal="center" vertical="center"/>
    </xf>
    <xf numFmtId="0" fontId="11" fillId="0" borderId="0" xfId="0" applyFont="1">
      <alignment vertical="center"/>
    </xf>
    <xf numFmtId="0" fontId="12" fillId="0" borderId="0" xfId="0" applyFont="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7" fillId="0" borderId="0" xfId="0" applyFont="1" applyAlignment="1">
      <alignment horizontal="center" vertical="center" wrapText="1"/>
    </xf>
    <xf numFmtId="0" fontId="15" fillId="4" borderId="2" xfId="0" applyFont="1" applyFill="1" applyBorder="1" applyAlignment="1">
      <alignment horizontal="center" vertical="center"/>
    </xf>
    <xf numFmtId="0" fontId="2" fillId="0" borderId="0" xfId="0" applyFont="1" applyAlignment="1">
      <alignment vertical="center" wrapText="1"/>
    </xf>
    <xf numFmtId="0" fontId="9" fillId="0" borderId="0" xfId="0" applyFont="1">
      <alignment vertical="center"/>
    </xf>
    <xf numFmtId="0" fontId="17" fillId="0" borderId="2" xfId="0" applyFont="1" applyBorder="1" applyAlignment="1">
      <alignment horizontal="center" vertical="center"/>
    </xf>
    <xf numFmtId="0" fontId="17" fillId="6" borderId="2" xfId="0" applyFont="1" applyFill="1" applyBorder="1" applyAlignment="1">
      <alignment horizontal="center" vertical="center"/>
    </xf>
    <xf numFmtId="0" fontId="3" fillId="0" borderId="2" xfId="0" applyFont="1" applyBorder="1" applyAlignment="1">
      <alignment vertical="center" wrapText="1"/>
    </xf>
    <xf numFmtId="0" fontId="7" fillId="0" borderId="2" xfId="0" applyFont="1" applyBorder="1" applyAlignment="1">
      <alignment horizontal="center" vertical="center" wrapText="1"/>
      <extLst>
        <ext xmlns:xfpb="http://schemas.microsoft.com/office/spreadsheetml/2022/featurepropertybag" uri="{C7286773-470A-42A8-94C5-96B5CB345126}">
          <xfpb:xfComplement i="0"/>
        </ext>
      </extLst>
    </xf>
    <xf numFmtId="0" fontId="18" fillId="0" borderId="2" xfId="0" applyFont="1" applyBorder="1" applyAlignment="1">
      <alignment horizontal="center" vertical="center"/>
    </xf>
    <xf numFmtId="0" fontId="19" fillId="0" borderId="2" xfId="0" applyFont="1" applyBorder="1" applyAlignment="1">
      <alignment horizontal="left" vertical="center" wrapText="1"/>
    </xf>
    <xf numFmtId="0" fontId="4" fillId="0" borderId="2" xfId="0" applyFont="1" applyBorder="1" applyAlignment="1">
      <alignment horizontal="center" vertical="center" wrapText="1"/>
    </xf>
    <xf numFmtId="0" fontId="10" fillId="0" borderId="2" xfId="0" applyFont="1" applyBorder="1" applyAlignment="1">
      <alignment horizontal="left" vertical="center" wrapText="1"/>
    </xf>
    <xf numFmtId="0" fontId="4" fillId="0" borderId="2" xfId="0" applyFont="1" applyBorder="1" applyAlignment="1">
      <alignment horizontal="left" vertical="center" wrapText="1"/>
    </xf>
    <xf numFmtId="0" fontId="20" fillId="0" borderId="2" xfId="0" applyFont="1" applyBorder="1" applyAlignment="1">
      <alignment horizontal="left" vertical="center" wrapText="1"/>
    </xf>
    <xf numFmtId="0" fontId="15" fillId="4"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4" fillId="5" borderId="2" xfId="0" applyFont="1" applyFill="1" applyBorder="1" applyAlignment="1">
      <alignment horizontal="center" vertical="center" wrapText="1"/>
    </xf>
    <xf numFmtId="0" fontId="4" fillId="5" borderId="2" xfId="0" applyFont="1" applyFill="1" applyBorder="1" applyAlignment="1">
      <alignment horizontal="center" vertical="center"/>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29" fillId="0" borderId="0" xfId="0" applyFont="1" applyAlignment="1">
      <alignment vertical="center" wrapText="1"/>
    </xf>
    <xf numFmtId="0" fontId="2" fillId="0" borderId="0" xfId="0" applyFont="1">
      <alignment vertical="center"/>
    </xf>
    <xf numFmtId="0" fontId="2" fillId="0" borderId="0" xfId="0" applyFont="1" applyAlignment="1">
      <alignment vertical="center" wrapText="1"/>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49" fontId="3" fillId="0" borderId="6" xfId="0" applyNumberFormat="1" applyFont="1" applyBorder="1" applyAlignment="1">
      <alignment horizontal="left" vertical="center" wrapText="1"/>
    </xf>
    <xf numFmtId="49" fontId="3" fillId="0" borderId="7" xfId="0" applyNumberFormat="1" applyFont="1" applyBorder="1" applyAlignment="1">
      <alignment horizontal="left" vertical="center"/>
    </xf>
    <xf numFmtId="49" fontId="3" fillId="0" borderId="8" xfId="0" applyNumberFormat="1" applyFont="1" applyBorder="1" applyAlignment="1">
      <alignment horizontal="left" vertical="center"/>
    </xf>
    <xf numFmtId="0" fontId="4" fillId="5" borderId="3"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7" fillId="0" borderId="0" xfId="0" applyFont="1" applyAlignment="1">
      <alignment horizontal="center" vertical="center"/>
    </xf>
    <xf numFmtId="0" fontId="8" fillId="3" borderId="9" xfId="0" applyFont="1" applyFill="1" applyBorder="1" applyAlignment="1">
      <alignment horizontal="center" vertical="center"/>
    </xf>
    <xf numFmtId="0" fontId="8" fillId="3" borderId="0" xfId="0" applyFont="1" applyFill="1" applyAlignment="1">
      <alignment horizontal="center" vertical="center"/>
    </xf>
    <xf numFmtId="0" fontId="4" fillId="4" borderId="2" xfId="0" applyFont="1" applyFill="1" applyBorder="1" applyAlignment="1">
      <alignment horizontal="center" vertical="center"/>
    </xf>
    <xf numFmtId="0" fontId="7" fillId="0" borderId="2" xfId="0" applyFont="1" applyBorder="1" applyAlignment="1">
      <alignment horizontal="center" vertical="center"/>
    </xf>
    <xf numFmtId="0" fontId="30" fillId="0" borderId="2" xfId="0" applyFont="1" applyBorder="1" applyAlignment="1">
      <alignment horizontal="center" vertical="center"/>
    </xf>
    <xf numFmtId="0" fontId="7" fillId="0" borderId="2" xfId="0" applyFont="1" applyBorder="1" applyAlignment="1">
      <alignment horizontal="center" vertical="center"/>
      <extLst>
        <ext xmlns:xfpb="http://schemas.microsoft.com/office/spreadsheetml/2022/featurepropertybag" uri="{C7286773-470A-42A8-94C5-96B5CB345126}">
          <xfpb:xfComplement i="0"/>
        </ext>
      </extLst>
    </xf>
    <xf numFmtId="0" fontId="0" fillId="0" borderId="0" xfId="0"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center" wrapText="1"/>
    </xf>
    <xf numFmtId="0" fontId="16" fillId="3" borderId="2" xfId="0" applyFont="1" applyFill="1" applyBorder="1" applyAlignment="1">
      <alignment horizontal="center" vertical="center"/>
    </xf>
    <xf numFmtId="0" fontId="0" fillId="3" borderId="2" xfId="0" applyFill="1" applyBorder="1" applyAlignment="1">
      <alignment horizontal="center" vertical="center"/>
    </xf>
    <xf numFmtId="0" fontId="15" fillId="4" borderId="2"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15" fillId="4" borderId="3" xfId="0" applyFont="1" applyFill="1" applyBorder="1" applyAlignment="1">
      <alignment horizontal="center" vertical="center"/>
    </xf>
    <xf numFmtId="0" fontId="0" fillId="4" borderId="5" xfId="0" applyFill="1" applyBorder="1" applyAlignment="1">
      <alignment horizontal="center" vertical="center"/>
    </xf>
  </cellXfs>
  <cellStyles count="2">
    <cellStyle name="메모"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142257</xdr:colOff>
      <xdr:row>5</xdr:row>
      <xdr:rowOff>847723</xdr:rowOff>
    </xdr:from>
    <xdr:to>
      <xdr:col>3</xdr:col>
      <xdr:colOff>4843457</xdr:colOff>
      <xdr:row>5</xdr:row>
      <xdr:rowOff>2487133</xdr:rowOff>
    </xdr:to>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tabSelected="1" workbookViewId="0">
      <selection sqref="A1:D1"/>
    </sheetView>
  </sheetViews>
  <sheetFormatPr defaultColWidth="8.875" defaultRowHeight="16.5"/>
  <cols>
    <col min="1" max="1" width="15.5" style="7" customWidth="1"/>
    <col min="2" max="2" width="26.5" style="7" customWidth="1"/>
    <col min="3" max="3" width="62.5" style="7" customWidth="1"/>
    <col min="4" max="4" width="65" style="7" customWidth="1"/>
    <col min="5" max="5" width="8.875" customWidth="1"/>
    <col min="6" max="6" width="8.875" style="17" customWidth="1"/>
  </cols>
  <sheetData>
    <row r="1" spans="1:6" ht="20.25">
      <c r="A1" s="41" t="s">
        <v>0</v>
      </c>
      <c r="B1" s="42"/>
      <c r="C1" s="42"/>
      <c r="D1" s="43"/>
    </row>
    <row r="2" spans="1:6">
      <c r="A2" s="1" t="s">
        <v>1</v>
      </c>
      <c r="B2" s="1" t="s">
        <v>2</v>
      </c>
      <c r="C2" s="2" t="s">
        <v>3</v>
      </c>
      <c r="D2" s="1" t="s">
        <v>4</v>
      </c>
    </row>
    <row r="3" spans="1:6" ht="44.25" customHeight="1">
      <c r="A3" s="48" t="s">
        <v>5</v>
      </c>
      <c r="B3" s="46" t="s">
        <v>6</v>
      </c>
      <c r="C3" s="47"/>
      <c r="D3" s="35"/>
    </row>
    <row r="4" spans="1:6" ht="51" customHeight="1">
      <c r="A4" s="49"/>
      <c r="B4" s="4" t="s">
        <v>7</v>
      </c>
      <c r="C4" s="5" t="s">
        <v>8</v>
      </c>
      <c r="D4" s="8"/>
    </row>
    <row r="5" spans="1:6" ht="78" customHeight="1">
      <c r="A5" s="49"/>
      <c r="B5" s="9" t="s">
        <v>9</v>
      </c>
      <c r="C5" s="5" t="s">
        <v>10</v>
      </c>
      <c r="D5" s="8"/>
    </row>
    <row r="6" spans="1:6" ht="283.5">
      <c r="A6" s="49"/>
      <c r="B6" s="4" t="s">
        <v>11</v>
      </c>
      <c r="C6" s="5" t="s">
        <v>12</v>
      </c>
      <c r="D6" s="4"/>
      <c r="F6" s="18"/>
    </row>
    <row r="7" spans="1:6" ht="182.45" customHeight="1">
      <c r="A7" s="50"/>
      <c r="B7" s="8" t="s">
        <v>13</v>
      </c>
      <c r="C7" s="34" t="s">
        <v>14</v>
      </c>
      <c r="D7" s="10"/>
      <c r="F7" s="18"/>
    </row>
    <row r="8" spans="1:6" ht="94.5">
      <c r="A8" s="44" t="s">
        <v>15</v>
      </c>
      <c r="B8" s="4" t="s">
        <v>16</v>
      </c>
      <c r="C8" s="6" t="s">
        <v>17</v>
      </c>
      <c r="D8" s="4"/>
    </row>
    <row r="9" spans="1:6" ht="61.5" customHeight="1">
      <c r="A9" s="45"/>
      <c r="B9" s="4" t="s">
        <v>18</v>
      </c>
      <c r="C9" s="5" t="s">
        <v>19</v>
      </c>
      <c r="D9" s="4"/>
    </row>
    <row r="10" spans="1:6" ht="129.94999999999999" customHeight="1">
      <c r="A10" s="45"/>
      <c r="B10" s="4" t="s">
        <v>20</v>
      </c>
      <c r="C10" s="36" t="s">
        <v>21</v>
      </c>
      <c r="D10" s="4"/>
    </row>
    <row r="11" spans="1:6" ht="300" customHeight="1">
      <c r="A11" s="45"/>
      <c r="B11" s="4" t="s">
        <v>22</v>
      </c>
      <c r="C11" s="31" t="s">
        <v>23</v>
      </c>
      <c r="D11" s="4"/>
    </row>
    <row r="16" spans="1:6">
      <c r="B16"/>
    </row>
  </sheetData>
  <mergeCells count="4">
    <mergeCell ref="A1:D1"/>
    <mergeCell ref="A8:A11"/>
    <mergeCell ref="B3:C3"/>
    <mergeCell ref="A3:A7"/>
  </mergeCells>
  <phoneticPr fontId="3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9"/>
  <sheetViews>
    <sheetView showGridLines="0" workbookViewId="0"/>
  </sheetViews>
  <sheetFormatPr defaultColWidth="8.875" defaultRowHeight="16.5"/>
  <cols>
    <col min="1" max="1" width="17.5" style="12" customWidth="1"/>
    <col min="2" max="2" width="4.5" style="12" customWidth="1"/>
    <col min="3" max="3" width="6.375" style="12" customWidth="1"/>
    <col min="4" max="4" width="26.5" style="12" customWidth="1"/>
    <col min="5" max="5" width="71.375" style="12" customWidth="1"/>
    <col min="6" max="6" width="10" style="12" customWidth="1"/>
    <col min="7" max="7" width="65" style="27" customWidth="1"/>
    <col min="8" max="8" width="24" customWidth="1"/>
    <col min="9" max="9" width="107.375" style="19" customWidth="1"/>
    <col min="10" max="10" width="13" style="20" customWidth="1"/>
    <col min="11" max="11" width="39.5" customWidth="1"/>
  </cols>
  <sheetData>
    <row r="1" spans="1:11" ht="20.25">
      <c r="A1" s="41" t="s">
        <v>24</v>
      </c>
      <c r="B1" s="42"/>
      <c r="C1" s="42"/>
      <c r="D1" s="42"/>
      <c r="E1" s="42"/>
      <c r="F1" s="42"/>
      <c r="G1" s="43"/>
      <c r="I1" s="25"/>
      <c r="K1" s="20"/>
    </row>
    <row r="2" spans="1:11">
      <c r="A2" s="1" t="s">
        <v>1</v>
      </c>
      <c r="B2" s="1" t="s">
        <v>25</v>
      </c>
      <c r="C2" s="1" t="s">
        <v>26</v>
      </c>
      <c r="D2" s="1" t="s">
        <v>27</v>
      </c>
      <c r="E2" s="2" t="s">
        <v>3</v>
      </c>
      <c r="F2" s="2" t="s">
        <v>28</v>
      </c>
      <c r="G2" s="2" t="s">
        <v>29</v>
      </c>
      <c r="K2" s="21"/>
    </row>
    <row r="3" spans="1:11" ht="45" customHeight="1">
      <c r="A3" s="3" t="s">
        <v>30</v>
      </c>
      <c r="B3" s="4">
        <v>1</v>
      </c>
      <c r="C3" s="4" t="s">
        <v>31</v>
      </c>
      <c r="D3" s="4" t="s">
        <v>32</v>
      </c>
      <c r="E3" s="38" t="s">
        <v>33</v>
      </c>
      <c r="F3" s="15" t="b">
        <v>1</v>
      </c>
      <c r="G3" s="31" t="s">
        <v>34</v>
      </c>
      <c r="K3" s="21"/>
    </row>
    <row r="4" spans="1:11" ht="36" customHeight="1">
      <c r="A4" s="48" t="s">
        <v>35</v>
      </c>
      <c r="B4" s="8">
        <v>2</v>
      </c>
      <c r="C4" s="8" t="s">
        <v>31</v>
      </c>
      <c r="D4" s="8" t="s">
        <v>16</v>
      </c>
      <c r="E4" s="37" t="s">
        <v>36</v>
      </c>
      <c r="F4" s="15" t="b">
        <v>1</v>
      </c>
      <c r="G4" s="31" t="s">
        <v>37</v>
      </c>
      <c r="K4" s="21"/>
    </row>
    <row r="5" spans="1:11" ht="84.95" customHeight="1">
      <c r="A5" s="50"/>
      <c r="B5" s="8">
        <v>3</v>
      </c>
      <c r="C5" s="8" t="s">
        <v>31</v>
      </c>
      <c r="D5" s="8" t="s">
        <v>38</v>
      </c>
      <c r="E5" s="37" t="s">
        <v>39</v>
      </c>
      <c r="F5" s="15" t="b">
        <v>1</v>
      </c>
      <c r="G5" s="31" t="s">
        <v>40</v>
      </c>
      <c r="K5" s="21"/>
    </row>
    <row r="6" spans="1:11" ht="69.95" customHeight="1">
      <c r="A6" s="48" t="s">
        <v>41</v>
      </c>
      <c r="B6" s="4">
        <v>4</v>
      </c>
      <c r="C6" s="4" t="s">
        <v>31</v>
      </c>
      <c r="D6" s="4" t="s">
        <v>18</v>
      </c>
      <c r="E6" s="5" t="s">
        <v>42</v>
      </c>
      <c r="F6" s="15" t="b">
        <v>1</v>
      </c>
      <c r="G6" s="5" t="s">
        <v>43</v>
      </c>
      <c r="K6" s="21"/>
    </row>
    <row r="7" spans="1:11" ht="62.1" customHeight="1">
      <c r="A7" s="49"/>
      <c r="B7" s="4">
        <v>5</v>
      </c>
      <c r="C7" s="4" t="s">
        <v>31</v>
      </c>
      <c r="D7" s="4" t="s">
        <v>44</v>
      </c>
      <c r="E7" s="5" t="s">
        <v>45</v>
      </c>
      <c r="F7" s="15" t="b">
        <v>1</v>
      </c>
      <c r="G7" s="6" t="s">
        <v>46</v>
      </c>
      <c r="K7" s="21"/>
    </row>
    <row r="8" spans="1:11" ht="62.1" customHeight="1">
      <c r="A8" s="49"/>
      <c r="B8" s="4">
        <v>6</v>
      </c>
      <c r="C8" s="4" t="s">
        <v>47</v>
      </c>
      <c r="D8" s="4" t="s">
        <v>48</v>
      </c>
      <c r="E8" s="5" t="s">
        <v>49</v>
      </c>
      <c r="F8" s="15" t="b">
        <v>1</v>
      </c>
      <c r="G8" s="6" t="s">
        <v>50</v>
      </c>
      <c r="K8" s="21"/>
    </row>
    <row r="9" spans="1:11" ht="24" customHeight="1">
      <c r="A9" s="50"/>
      <c r="B9" s="4">
        <v>7</v>
      </c>
      <c r="C9" s="4" t="s">
        <v>31</v>
      </c>
      <c r="D9" s="4" t="s">
        <v>51</v>
      </c>
      <c r="E9" s="5" t="s">
        <v>52</v>
      </c>
      <c r="F9" s="15" t="b">
        <v>1</v>
      </c>
      <c r="G9" s="6" t="s">
        <v>53</v>
      </c>
      <c r="K9" s="21"/>
    </row>
    <row r="10" spans="1:11" ht="84.95" customHeight="1">
      <c r="A10" s="48" t="s">
        <v>54</v>
      </c>
      <c r="B10" s="8">
        <v>8</v>
      </c>
      <c r="C10" s="8" t="s">
        <v>31</v>
      </c>
      <c r="D10" s="8" t="s">
        <v>55</v>
      </c>
      <c r="E10" s="37" t="s">
        <v>56</v>
      </c>
      <c r="F10" s="15" t="b">
        <v>1</v>
      </c>
      <c r="G10" s="6" t="s">
        <v>57</v>
      </c>
      <c r="K10" s="21"/>
    </row>
    <row r="11" spans="1:11" ht="75" customHeight="1">
      <c r="A11" s="49"/>
      <c r="B11" s="4">
        <v>9</v>
      </c>
      <c r="C11" s="4" t="s">
        <v>31</v>
      </c>
      <c r="D11" s="4" t="s">
        <v>18</v>
      </c>
      <c r="E11" s="5" t="s">
        <v>42</v>
      </c>
      <c r="F11" s="15" t="b">
        <v>1</v>
      </c>
      <c r="G11" s="6" t="s">
        <v>58</v>
      </c>
      <c r="K11" s="23"/>
    </row>
    <row r="12" spans="1:11" ht="51.95" customHeight="1">
      <c r="A12" s="49"/>
      <c r="B12" s="4">
        <v>10</v>
      </c>
      <c r="C12" s="4" t="s">
        <v>31</v>
      </c>
      <c r="D12" s="4" t="s">
        <v>59</v>
      </c>
      <c r="E12" s="5" t="s">
        <v>60</v>
      </c>
      <c r="F12" s="15" t="b">
        <v>1</v>
      </c>
      <c r="G12" s="6" t="s">
        <v>120</v>
      </c>
      <c r="J12" s="24"/>
      <c r="K12" s="21"/>
    </row>
    <row r="13" spans="1:11" ht="24" customHeight="1">
      <c r="A13" s="49"/>
      <c r="B13" s="4">
        <v>11</v>
      </c>
      <c r="C13" s="4" t="s">
        <v>31</v>
      </c>
      <c r="D13" s="4" t="s">
        <v>61</v>
      </c>
      <c r="E13" s="5" t="s">
        <v>62</v>
      </c>
      <c r="F13" s="15" t="b">
        <v>1</v>
      </c>
      <c r="G13" s="5" t="s">
        <v>63</v>
      </c>
      <c r="K13" s="21"/>
    </row>
    <row r="14" spans="1:11" ht="120" customHeight="1">
      <c r="A14" s="50"/>
      <c r="B14" s="8">
        <v>12</v>
      </c>
      <c r="C14" s="8" t="s">
        <v>47</v>
      </c>
      <c r="D14" s="8" t="s">
        <v>64</v>
      </c>
      <c r="E14" s="37" t="s">
        <v>65</v>
      </c>
      <c r="F14" s="15" t="b">
        <v>1</v>
      </c>
      <c r="G14" s="5" t="s">
        <v>66</v>
      </c>
      <c r="K14" s="21"/>
    </row>
    <row r="15" spans="1:11" ht="32.1" customHeight="1">
      <c r="A15" s="60" t="s">
        <v>67</v>
      </c>
      <c r="B15" s="8">
        <v>13</v>
      </c>
      <c r="C15" s="8" t="s">
        <v>47</v>
      </c>
      <c r="D15" s="35" t="s">
        <v>68</v>
      </c>
      <c r="E15" s="37" t="s">
        <v>69</v>
      </c>
      <c r="F15" s="15" t="b">
        <v>1</v>
      </c>
      <c r="G15" s="5" t="s">
        <v>70</v>
      </c>
      <c r="K15" s="21"/>
    </row>
    <row r="16" spans="1:11" ht="129.94999999999999" customHeight="1">
      <c r="A16" s="61"/>
      <c r="B16" s="4">
        <v>14</v>
      </c>
      <c r="C16" s="4" t="s">
        <v>31</v>
      </c>
      <c r="D16" s="4" t="s">
        <v>71</v>
      </c>
      <c r="E16" s="5" t="s">
        <v>72</v>
      </c>
      <c r="F16" s="15" t="b">
        <v>1</v>
      </c>
      <c r="G16" s="5" t="s">
        <v>73</v>
      </c>
      <c r="K16" s="21"/>
    </row>
    <row r="17" spans="1:11" ht="62.1" customHeight="1">
      <c r="A17" s="60" t="s">
        <v>74</v>
      </c>
      <c r="B17" s="8">
        <v>15</v>
      </c>
      <c r="C17" s="8" t="s">
        <v>31</v>
      </c>
      <c r="D17" s="8" t="s">
        <v>75</v>
      </c>
      <c r="E17" s="37" t="s">
        <v>76</v>
      </c>
      <c r="F17" s="15" t="b">
        <v>1</v>
      </c>
      <c r="G17" s="31" t="s">
        <v>77</v>
      </c>
      <c r="K17" s="21"/>
    </row>
    <row r="18" spans="1:11" ht="92.1" customHeight="1">
      <c r="A18" s="61"/>
      <c r="B18" s="4">
        <v>16</v>
      </c>
      <c r="C18" s="4" t="s">
        <v>31</v>
      </c>
      <c r="D18" s="9" t="s">
        <v>78</v>
      </c>
      <c r="E18" s="5" t="s">
        <v>79</v>
      </c>
      <c r="F18" s="32" t="b">
        <v>1</v>
      </c>
      <c r="G18" s="31" t="s">
        <v>80</v>
      </c>
      <c r="K18" s="21"/>
    </row>
    <row r="19" spans="1:11" ht="189.95" customHeight="1">
      <c r="A19" s="48" t="s">
        <v>81</v>
      </c>
      <c r="B19" s="4">
        <v>17</v>
      </c>
      <c r="C19" s="4" t="s">
        <v>31</v>
      </c>
      <c r="D19" s="4" t="s">
        <v>18</v>
      </c>
      <c r="E19" s="5" t="s">
        <v>82</v>
      </c>
      <c r="F19" s="15" t="b">
        <v>1</v>
      </c>
      <c r="G19" s="5" t="str">
        <v>충족(수동 기술판정). 최종 자동검사는 69 Passed·1 Failed이며, KOSMO-CD #2는 IDTA 공식 UtcTime IRI에 자체 IRI 형식을 요구한 오판으로 판단함. 공식값 유지. 근거: IDTA 02008-1-1 §2.4 p.29 및 20261027125632_test_result.html. 검토권자의 예외 수용은 별도 확인 필요. SoundPowerLevel AAZ122#004 CD 연결 확인.</v>
      </c>
      <c r="K19" s="21"/>
    </row>
    <row r="20" spans="1:11" ht="65.099999999999994" customHeight="1">
      <c r="A20" s="49"/>
      <c r="B20" s="4">
        <v>18</v>
      </c>
      <c r="C20" s="9" t="s">
        <v>31</v>
      </c>
      <c r="D20" s="4" t="s">
        <v>83</v>
      </c>
      <c r="E20" s="5" t="s">
        <v>84</v>
      </c>
      <c r="F20" s="15" t="b">
        <v>1</v>
      </c>
      <c r="G20" s="5" t="s">
        <v>85</v>
      </c>
      <c r="K20" s="21"/>
    </row>
    <row r="21" spans="1:11" ht="65.099999999999994" customHeight="1">
      <c r="A21" s="50"/>
      <c r="B21" s="4">
        <v>19</v>
      </c>
      <c r="C21" s="9" t="s">
        <v>31</v>
      </c>
      <c r="D21" s="4" t="s">
        <v>86</v>
      </c>
      <c r="E21" s="5" t="s">
        <v>87</v>
      </c>
      <c r="F21" s="15" t="b">
        <v>1</v>
      </c>
      <c r="G21" s="5" t="s">
        <v>88</v>
      </c>
      <c r="K21" s="21"/>
    </row>
    <row r="22" spans="1:11" ht="51.95" customHeight="1">
      <c r="A22" s="3" t="s">
        <v>4</v>
      </c>
      <c r="B22" s="57" t="s">
        <v>89</v>
      </c>
      <c r="C22" s="58"/>
      <c r="D22" s="58"/>
      <c r="E22" s="58"/>
      <c r="F22" s="58"/>
      <c r="G22" s="59"/>
      <c r="K22" s="21"/>
    </row>
    <row r="23" spans="1:11">
      <c r="A23" s="3" t="s">
        <v>90</v>
      </c>
      <c r="B23" s="8">
        <v>19</v>
      </c>
      <c r="C23" s="54"/>
      <c r="D23" s="55"/>
      <c r="E23" s="55"/>
      <c r="F23" s="55"/>
      <c r="G23" s="56"/>
      <c r="K23" s="21"/>
    </row>
    <row r="24" spans="1:11" ht="48" customHeight="1">
      <c r="B24" s="51" t="str">
        <v>검토 기준: PhotolithographyTrackEquipment_AAS_v0.0.1.aasx / 2026-10-27 최종 재검증 반영. SHA-256: caff914f3dc4dd8df35cc8cf4195e3a8f3118866d4e084df50a096d7dff884f1 / 20261027125632_test_result.html</v>
      </c>
      <c r="C24" s="52"/>
      <c r="D24" s="52"/>
      <c r="E24" s="52"/>
      <c r="F24" s="52"/>
      <c r="G24" s="53"/>
      <c r="K24" s="21"/>
    </row>
    <row r="25" spans="1:11">
      <c r="K25" s="21"/>
    </row>
    <row r="26" spans="1:11">
      <c r="K26" s="22"/>
    </row>
    <row r="29" spans="1:11">
      <c r="H29" s="12"/>
    </row>
  </sheetData>
  <mergeCells count="10">
    <mergeCell ref="B24:G24"/>
    <mergeCell ref="C23:G23"/>
    <mergeCell ref="A1:G1"/>
    <mergeCell ref="A10:A14"/>
    <mergeCell ref="B22:G22"/>
    <mergeCell ref="A4:A5"/>
    <mergeCell ref="A6:A9"/>
    <mergeCell ref="A19:A21"/>
    <mergeCell ref="A15:A16"/>
    <mergeCell ref="A17:A18"/>
  </mergeCells>
  <phoneticPr fontId="3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3"/>
  <sheetViews>
    <sheetView workbookViewId="0"/>
  </sheetViews>
  <sheetFormatPr defaultColWidth="8.875" defaultRowHeight="16.5"/>
  <cols>
    <col min="1" max="4" width="9" style="11"/>
    <col min="5" max="6" width="15" style="11" customWidth="1"/>
    <col min="7" max="7" width="17" style="11" customWidth="1"/>
    <col min="8" max="8" width="21.375" style="11" customWidth="1"/>
    <col min="9" max="9" width="28.5" customWidth="1"/>
  </cols>
  <sheetData>
    <row r="1" spans="1:10" ht="20.25">
      <c r="A1" s="63" t="s">
        <v>91</v>
      </c>
      <c r="B1" s="64"/>
      <c r="C1" s="64"/>
      <c r="D1" s="64"/>
      <c r="E1" s="64"/>
      <c r="F1" s="64"/>
      <c r="G1" s="64"/>
      <c r="H1" s="64"/>
      <c r="I1" s="64"/>
      <c r="J1" s="16"/>
    </row>
    <row r="2" spans="1:10">
      <c r="A2" s="65" t="s">
        <v>92</v>
      </c>
      <c r="B2" s="65"/>
      <c r="C2" s="65"/>
      <c r="D2" s="65"/>
      <c r="E2" s="1" t="s">
        <v>93</v>
      </c>
      <c r="F2" s="2" t="s">
        <v>94</v>
      </c>
      <c r="G2" s="1" t="s">
        <v>95</v>
      </c>
      <c r="H2" s="1" t="s">
        <v>96</v>
      </c>
      <c r="I2" s="1" t="s">
        <v>4</v>
      </c>
    </row>
    <row r="3" spans="1:10" ht="48" customHeight="1">
      <c r="A3" s="45" t="s">
        <v>97</v>
      </c>
      <c r="B3" s="45"/>
      <c r="C3" s="45"/>
      <c r="D3" s="45"/>
      <c r="E3" s="67" t="s">
        <v>98</v>
      </c>
      <c r="F3" s="68"/>
      <c r="G3" s="10">
        <f>SUM(IF('AAS Model Checklist'!F3,1,0),IF('AAS Model Checklist'!F4,1,0),IF('AAS Model Checklist'!F5,1,0),IF('AAS Model Checklist'!F6,1,0),IF('AAS Model Checklist'!F7,1,0),IF('AAS Model Checklist'!F8,1,0),IF('AAS Model Checklist'!F9,1,0),IF('AAS Model Checklist'!F10,1,0),IF('AAS Model Checklist'!F11,1,0),IF('AAS Model Checklist'!F12,1,0),IF('AAS Model Checklist'!F13,1,0),IF('AAS Model Checklist'!F14,1,0),IF('AAS Model Checklist'!F15,1,0),IF('AAS Model Checklist'!F16,1,0),IF('AAS Model Checklist'!F17,1,0),IF('AAS Model Checklist'!F18,1,0),IF('AAS Model Checklist'!F19,1,0),IF('AAS Model Checklist'!F20,1,0),IF('AAS Model Checklist'!F21,1,0))</f>
        <v>19</v>
      </c>
      <c r="H3" s="10">
        <f>ROUND(G3/G5, 3) * 100</f>
        <v>100</v>
      </c>
      <c r="I3" s="9" t="str">
        <v>19개 수동판정 충족(공식 원본 예외 포함).</v>
      </c>
    </row>
    <row r="4" spans="1:10" ht="48" customHeight="1">
      <c r="A4" s="45"/>
      <c r="B4" s="45"/>
      <c r="C4" s="45"/>
      <c r="D4" s="45"/>
      <c r="E4" s="67" t="s">
        <v>99</v>
      </c>
      <c r="F4" s="68"/>
      <c r="G4" s="33">
        <f>'AAS Model Checklist'!B23-G3</f>
        <v>0</v>
      </c>
      <c r="H4" s="10">
        <f>ROUND(G4/G5, 3) * 100</f>
        <v>0</v>
      </c>
      <c r="I4" s="9" t="str">
        <v>수동 미충족 0개. 공식 IRI 예외의 외부 수용은 별도 확인 필요.</v>
      </c>
    </row>
    <row r="5" spans="1:10" ht="48" customHeight="1">
      <c r="A5" s="45"/>
      <c r="B5" s="45"/>
      <c r="C5" s="45"/>
      <c r="D5" s="45"/>
      <c r="E5" s="13" t="s">
        <v>90</v>
      </c>
      <c r="F5" s="13" t="s">
        <v>100</v>
      </c>
      <c r="G5" s="13">
        <f>SUM(G3:G4)</f>
        <v>19</v>
      </c>
      <c r="H5" s="13">
        <f>SUM(H3:H4)</f>
        <v>100</v>
      </c>
      <c r="I5" s="40" t="str">
        <v>자동 69 Passed·1 Failed / 수동 19/19. 자동 70 Passed가 아님.</v>
      </c>
    </row>
    <row r="6" spans="1:10">
      <c r="A6" s="45" t="s">
        <v>101</v>
      </c>
      <c r="B6" s="45"/>
      <c r="C6" s="45"/>
      <c r="D6" s="45"/>
      <c r="E6" s="66" t="s">
        <v>31</v>
      </c>
      <c r="F6" s="10" t="s">
        <v>102</v>
      </c>
      <c r="G6" s="10">
        <f>SUM(IF('AAS Model Checklist'!C3="필수",IF('AAS Model Checklist'!F3,1,0),0),IF('AAS Model Checklist'!C4="필수",IF('AAS Model Checklist'!F4,1,0),0),IF('AAS Model Checklist'!C5="필수",IF('AAS Model Checklist'!F5,1,0),0),IF('AAS Model Checklist'!C6="필수",IF('AAS Model Checklist'!F6,1,0),0),IF('AAS Model Checklist'!C7="필수",IF('AAS Model Checklist'!F7,1,0),0),IF('AAS Model Checklist'!C8="필수",IF('AAS Model Checklist'!F8,1,0),0),IF('AAS Model Checklist'!C9="필수",IF('AAS Model Checklist'!F9,1,0),0),IF('AAS Model Checklist'!C10="필수",IF('AAS Model Checklist'!F10,1,0),0),IF('AAS Model Checklist'!C11="필수",IF('AAS Model Checklist'!F11,1,0),0),IF('AAS Model Checklist'!C12="필수",IF('AAS Model Checklist'!F12,1,0),0),IF('AAS Model Checklist'!C13="필수",IF('AAS Model Checklist'!F13,1,0),0),IF('AAS Model Checklist'!C14="필수",IF('AAS Model Checklist'!F14,1,0),0),IF('AAS Model Checklist'!C15="필수",IF('AAS Model Checklist'!F15,1,0),0),IF('AAS Model Checklist'!C16="필수",IF('AAS Model Checklist'!F16,1,0),0),IF('AAS Model Checklist'!C17="필수",IF('AAS Model Checklist'!F17,1,0),0),IF('AAS Model Checklist'!C18="필수",IF('AAS Model Checklist'!F18,1,0),0),IF('AAS Model Checklist'!C19="필수",IF('AAS Model Checklist'!F19,1,0),0),IF('AAS Model Checklist'!C20="필수",IF('AAS Model Checklist'!F20,1,0),0),IF('AAS Model Checklist'!C21="필수",IF('AAS Model Checklist'!F21,1,0),0))</f>
        <v>16</v>
      </c>
      <c r="H6" s="10">
        <f>ROUND(G6/G10, 3) * 100</f>
        <v>84.2</v>
      </c>
      <c r="I6" s="29" t="s">
        <v>103</v>
      </c>
    </row>
    <row r="7" spans="1:10">
      <c r="A7" s="45"/>
      <c r="B7" s="45"/>
      <c r="C7" s="45"/>
      <c r="D7" s="45"/>
      <c r="E7" s="66"/>
      <c r="F7" s="10" t="s">
        <v>104</v>
      </c>
      <c r="G7" s="10">
        <f>SUM(IF('AAS Model Checklist'!C3="필수",IF('AAS Model Checklist'!F3,0,1),0),IF('AAS Model Checklist'!C4="필수",IF('AAS Model Checklist'!F4,0,1),0),IF('AAS Model Checklist'!C5="필수",IF('AAS Model Checklist'!F5,0,1),0),IF('AAS Model Checklist'!C6="필수",IF('AAS Model Checklist'!F6,0,1),0),IF('AAS Model Checklist'!C7="필수",IF('AAS Model Checklist'!F7,0,1),0),IF('AAS Model Checklist'!C8="필수",IF('AAS Model Checklist'!F8,0,1),0),IF('AAS Model Checklist'!C9="필수",IF('AAS Model Checklist'!F9,0,1),0),IF('AAS Model Checklist'!C10="필수",IF('AAS Model Checklist'!F10,0,1),0),IF('AAS Model Checklist'!C11="필수",IF('AAS Model Checklist'!F11,0,1),0),IF('AAS Model Checklist'!C12="필수",IF('AAS Model Checklist'!F12,0,1),0),IF('AAS Model Checklist'!C13="필수",IF('AAS Model Checklist'!F13,0,1),0),IF('AAS Model Checklist'!C14="필수",IF('AAS Model Checklist'!F14,0,1),0),IF('AAS Model Checklist'!C15="필수",IF('AAS Model Checklist'!F15,0,1),0),IF('AAS Model Checklist'!C16="필수",IF('AAS Model Checklist'!F16,0,1),0),IF('AAS Model Checklist'!C17="필수",IF('AAS Model Checklist'!F17,0,1),0),IF('AAS Model Checklist'!C18="필수",IF('AAS Model Checklist'!F18,0,1),0),IF('AAS Model Checklist'!C19="필수",IF('AAS Model Checklist'!F19,0,1),0),IF('AAS Model Checklist'!C20="필수",IF('AAS Model Checklist'!F20,0,1),0),IF('AAS Model Checklist'!C21="필수",IF('AAS Model Checklist'!F21,0,1),0))</f>
        <v>0</v>
      </c>
      <c r="H7" s="10">
        <f>ROUND(G7/G10, 3) * 100</f>
        <v>0</v>
      </c>
      <c r="I7" s="29" t="s">
        <v>105</v>
      </c>
    </row>
    <row r="8" spans="1:10">
      <c r="A8" s="45"/>
      <c r="B8" s="45"/>
      <c r="C8" s="45"/>
      <c r="D8" s="45"/>
      <c r="E8" s="66" t="s">
        <v>47</v>
      </c>
      <c r="F8" s="10" t="s">
        <v>106</v>
      </c>
      <c r="G8" s="10">
        <f>SUM(IF('AAS Model Checklist'!C3="옵션",IF('AAS Model Checklist'!F3,1,0),0),IF('AAS Model Checklist'!C4="옵션",IF('AAS Model Checklist'!F4,1,0),0),IF('AAS Model Checklist'!C5="옵션",IF('AAS Model Checklist'!F5,1,0),0),IF('AAS Model Checklist'!C6="옵션",IF('AAS Model Checklist'!F6,1,0),0),IF('AAS Model Checklist'!C7="옵션",IF('AAS Model Checklist'!F7,1,0),0),IF('AAS Model Checklist'!C8="옵션",IF('AAS Model Checklist'!F8,1,0),0),IF('AAS Model Checklist'!C9="옵션",IF('AAS Model Checklist'!F9,1,0),0),IF('AAS Model Checklist'!C10="옵션",IF('AAS Model Checklist'!F10,1,0),0),IF('AAS Model Checklist'!C11="옵션",IF('AAS Model Checklist'!F11,1,0),0),IF('AAS Model Checklist'!C12="옵션",IF('AAS Model Checklist'!F12,1,0),0),IF('AAS Model Checklist'!C13="옵션",IF('AAS Model Checklist'!F13,1,0),0),IF('AAS Model Checklist'!C14="옵션",IF('AAS Model Checklist'!F14,1,0),0),IF('AAS Model Checklist'!C15="옵션",IF('AAS Model Checklist'!F15,1,0),0),IF('AAS Model Checklist'!C16="옵션",IF('AAS Model Checklist'!F16,1,0),0),IF('AAS Model Checklist'!C17="옵션",IF('AAS Model Checklist'!F17,1,0),0),IF('AAS Model Checklist'!C18="옵션",IF('AAS Model Checklist'!F18,1,0),0),IF('AAS Model Checklist'!C19="옵션",IF('AAS Model Checklist'!F19,1,0),0),IF('AAS Model Checklist'!C20="옵션",IF('AAS Model Checklist'!F20,1,0),0),IF('AAS Model Checklist'!C21="옵션",IF('AAS Model Checklist'!F21,1,0),0))</f>
        <v>3</v>
      </c>
      <c r="H8" s="10">
        <f>ROUND(G8/G10, 3) * 100</f>
        <v>15.8</v>
      </c>
      <c r="I8" s="29" t="s">
        <v>107</v>
      </c>
    </row>
    <row r="9" spans="1:10">
      <c r="A9" s="45"/>
      <c r="B9" s="45"/>
      <c r="C9" s="45"/>
      <c r="D9" s="45"/>
      <c r="E9" s="66"/>
      <c r="F9" s="10" t="s">
        <v>108</v>
      </c>
      <c r="G9" s="10">
        <f>SUM(IF('AAS Model Checklist'!C3="옵션",IF('AAS Model Checklist'!F3,0,1),0),IF('AAS Model Checklist'!C4="옵션",IF('AAS Model Checklist'!F4,0,1),0),IF('AAS Model Checklist'!C5="옵션",IF('AAS Model Checklist'!F5,0,1),0),IF('AAS Model Checklist'!C6="옵션",IF('AAS Model Checklist'!F6,0,1),0),IF('AAS Model Checklist'!C7="옵션",IF('AAS Model Checklist'!F7,0,1),0),IF('AAS Model Checklist'!C8="옵션",IF('AAS Model Checklist'!F8,0,1),0),IF('AAS Model Checklist'!C9="옵션",IF('AAS Model Checklist'!F9,0,1),0),IF('AAS Model Checklist'!C10="옵션",IF('AAS Model Checklist'!F10,0,1),0),IF('AAS Model Checklist'!C11="옵션",IF('AAS Model Checklist'!F11,0,1),0),IF('AAS Model Checklist'!C12="옵션",IF('AAS Model Checklist'!F12,0,1),0),IF('AAS Model Checklist'!C13="옵션",IF('AAS Model Checklist'!F13,0,1),0),IF('AAS Model Checklist'!C14="옵션",IF('AAS Model Checklist'!F14,0,1),0),IF('AAS Model Checklist'!C15="옵션",IF('AAS Model Checklist'!F15,0,1),0),IF('AAS Model Checklist'!C16="옵션",IF('AAS Model Checklist'!F16,0,1),0),IF('AAS Model Checklist'!C17="옵션",IF('AAS Model Checklist'!F17,0,1),0),IF('AAS Model Checklist'!C18="옵션",IF('AAS Model Checklist'!F18,0,1),0),IF('AAS Model Checklist'!C19="옵션",IF('AAS Model Checklist'!F19,0,1),0),IF('AAS Model Checklist'!C20="옵션",IF('AAS Model Checklist'!F20,0,1),0),IF('AAS Model Checklist'!C21="옵션",IF('AAS Model Checklist'!F21,0,1),0))</f>
        <v>0</v>
      </c>
      <c r="H9" s="10">
        <f>ROUND(G9/G10, 3) * 100</f>
        <v>0</v>
      </c>
      <c r="I9" s="29" t="s">
        <v>109</v>
      </c>
    </row>
    <row r="10" spans="1:10">
      <c r="A10" s="45"/>
      <c r="B10" s="45"/>
      <c r="C10" s="45"/>
      <c r="D10" s="45"/>
      <c r="E10" s="13" t="s">
        <v>90</v>
      </c>
      <c r="F10" s="14" t="s">
        <v>100</v>
      </c>
      <c r="G10" s="13">
        <f>SUM(G6:G9)</f>
        <v>19</v>
      </c>
      <c r="H10" s="13">
        <f>SUM(H6:H9)</f>
        <v>100</v>
      </c>
      <c r="I10" s="30" t="s">
        <v>110</v>
      </c>
    </row>
    <row r="12" spans="1:10">
      <c r="A12" s="62" t="s">
        <v>111</v>
      </c>
      <c r="B12" s="62"/>
      <c r="C12" s="62"/>
      <c r="D12" s="62"/>
      <c r="E12" s="62"/>
      <c r="F12" s="62"/>
      <c r="G12" s="62"/>
      <c r="H12" s="62"/>
      <c r="I12" s="62"/>
    </row>
    <row r="13" spans="1:10">
      <c r="B13" s="28"/>
    </row>
  </sheetData>
  <mergeCells count="9">
    <mergeCell ref="A12:I12"/>
    <mergeCell ref="A1:I1"/>
    <mergeCell ref="A2:D2"/>
    <mergeCell ref="E6:E7"/>
    <mergeCell ref="E8:E9"/>
    <mergeCell ref="A3:D5"/>
    <mergeCell ref="A6:D10"/>
    <mergeCell ref="E3:F3"/>
    <mergeCell ref="E4:F4"/>
  </mergeCells>
  <phoneticPr fontId="3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workbookViewId="0"/>
  </sheetViews>
  <sheetFormatPr defaultColWidth="8.875" defaultRowHeight="16.5"/>
  <cols>
    <col min="1" max="1" width="17.5" customWidth="1"/>
    <col min="2" max="2" width="14.375" customWidth="1"/>
    <col min="3" max="3" width="13" customWidth="1"/>
    <col min="4" max="4" width="25.5" customWidth="1"/>
    <col min="5" max="5" width="11.5" customWidth="1"/>
    <col min="6" max="6" width="24.375" customWidth="1"/>
  </cols>
  <sheetData>
    <row r="1" spans="1:6" ht="32.25" customHeight="1">
      <c r="A1" s="72" t="s">
        <v>112</v>
      </c>
      <c r="B1" s="73"/>
      <c r="C1" s="73"/>
      <c r="D1" s="73"/>
      <c r="E1" s="73"/>
      <c r="F1" s="73"/>
    </row>
    <row r="2" spans="1:6">
      <c r="A2" s="74" t="s">
        <v>113</v>
      </c>
      <c r="B2" s="75"/>
      <c r="C2" s="74" t="s">
        <v>114</v>
      </c>
      <c r="D2" s="76"/>
      <c r="E2" s="78" t="s">
        <v>115</v>
      </c>
      <c r="F2" s="76" t="s">
        <v>116</v>
      </c>
    </row>
    <row r="3" spans="1:6">
      <c r="A3" s="74"/>
      <c r="B3" s="75"/>
      <c r="C3" s="74"/>
      <c r="D3" s="77"/>
      <c r="E3" s="79"/>
      <c r="F3" s="77"/>
    </row>
    <row r="4" spans="1:6" ht="180" customHeight="1">
      <c r="A4" s="39" t="s">
        <v>117</v>
      </c>
      <c r="B4" s="70" t="str">
        <v>검토 기준: PhotolithographyTrackEquipment_AAS_v0.0.1.aasx / 2026-10-27 최종 재검증 반영. SHA-256: caff914f3dc4dd8df35cc8cf4195e3a8f3118866d4e084df50a096d7dff884f1
2026-10-27 소음 IRDI 보완 후 검사: 69 Passed·1 Failed. 증빙: 20261027125632_test_result.html. KOSMO-CD #2의 Failed 1건은 공식 https://admin-shell.io/idta/TimeSeries/UtcTime/1/1에 자체 smart-factory IRI 형식을 요구한 오판임. IDTA 02008-1-1 §2.4 p.29의 공식 식별자이므로 원본 유지하며 수동 기술판정으로 충족 처리하되 검토권자 수용은 별도 확인함. 표준 SM 6종은 자동검사 제외되어 기존 공식 원본 수동 대조 근거를 함께 적용함.</v>
      </c>
      <c r="C4" s="70"/>
      <c r="D4" s="70"/>
      <c r="E4" s="70"/>
      <c r="F4" s="70"/>
    </row>
    <row r="5" spans="1:6" ht="48" customHeight="1">
      <c r="A5" s="39" t="s">
        <v>118</v>
      </c>
      <c r="B5" s="70" t="s">
        <v>119</v>
      </c>
      <c r="C5" s="70"/>
      <c r="D5" s="70"/>
      <c r="E5" s="70"/>
      <c r="F5" s="70"/>
    </row>
    <row r="6" spans="1:6" ht="405" customHeight="1">
      <c r="A6" s="26" t="s">
        <v>4</v>
      </c>
      <c r="B6" s="71" t="str">
        <v>[실제 오류 수정 완료]
DispenseVolumeDriftIndex의 자체 IRI에서 PredictiveMaintenance/ 경로를 삭제했다. 최종값: https://www.smart-factory.kr/ids/cd/DispenseVolumeDriftIndex/1/0. CD ID와 OperationalData의 해당 semanticId 1곳, 계획서·가이던스 표를 함께 수정했다. 가이드라인 자체 IRI 규칙 2의 category/variable/version/revision 형식 및 CD 연결을 수동 확인했다.
[공식 원본 수동 대조]
표준 SM 6종은 자동검사 제외 대상이다. 공식 정의 요소 182/182 대응은 반복 항목 정규화 및 작성용 자리표시자 제외 기준. SME 616개, Property 369개, CD 343개는 유지했다. 원본 동일 CD 미연결 13곳은 Nameplate의 AddressInformation·Markings·AssetSpecificProperties·GuidelineSpecificProperties·목록 [0](5곳), PM의 RemainingUsefulLifetime·ConditionName[0..5]·ListPreAlerts(8곳). PM 숫자형/STRING 27곳도 공식 원본 동일이므로 보존 예외로 충족 처리했다.
[KOSMO-CD #2 공식 IRI 유지 및 예외 수용 검토 근거]
1. 대상: https://admin-shell.io/idta/TimeSeries/UtcTime/1/1
2. 공식 근거: IDTA 02008-1-1 Time Series Data, §2.4 Example Timestamp definitions, p.29에 동일 IRI가 제시됨. UTC 시각 의미의 공식 식별자임.
https://industrialdigitaltwin.org/wp-content/uploads/2023/03/IDTA-02008-1-1_Submodel_TimeSeriesData.pdf#page=29
3. 실제 지적: 최종 20261027125632_test_result.html의 KOSMO-CD #2는 위 CD ID에 https://www.smart-factory.kr/ids/cd/UtcTime/{version}/{revision} 형식을 요구함.
4. 기술판단: 공식 원문과 일치하는 식별자에 프로젝트 자체 IRI 규칙을 적용한 오판으로 판단함. 자체 주소로 치환하면 공식 식별자와 달라지므로 CD ID·연결 semanticId를 유지함. 모든 admin-shell.io 주소를 일괄 면제한다는 의미는 아님.
5. 집계: 자동검사 69 Passed·1 Failed를 원문 그대로 기록함. 수동 19/19 충족은 기술 검토 결과이며 자동 70 Passed 또는 외부 승인 완료를 뜻하지 않음. 표준 SM 6종의 자동검사 제외는 기존 공식 원본 수동 대조 근거와 구분함.
6. 수용 요청: 위 근거에 따라 이 공식 IRI 1건을 모델 수정 불필요로 수용할 것을 요청함. 검토권자의 승인·수용 증빙은 아직 확인되지 않았음. 수용 시 검토자·확인일·판정서 또는 회신 위치를 기록함. 본 작성으로 승인이 완료되지는 않음.</v>
      </c>
      <c r="C6" s="71"/>
      <c r="D6" s="71"/>
      <c r="E6" s="71"/>
      <c r="F6" s="71"/>
    </row>
    <row r="16" spans="1:6">
      <c r="A16" s="69"/>
      <c r="B16" s="69"/>
      <c r="C16" s="69"/>
      <c r="D16" s="69"/>
      <c r="E16" s="69"/>
      <c r="F16" s="69"/>
    </row>
  </sheetData>
  <mergeCells count="11">
    <mergeCell ref="A16:F16"/>
    <mergeCell ref="B5:F5"/>
    <mergeCell ref="B4:F4"/>
    <mergeCell ref="B6:F6"/>
    <mergeCell ref="A1:F1"/>
    <mergeCell ref="A2:A3"/>
    <mergeCell ref="B2:B3"/>
    <mergeCell ref="C2:C3"/>
    <mergeCell ref="D2:D3"/>
    <mergeCell ref="E2:E3"/>
    <mergeCell ref="F2:F3"/>
  </mergeCells>
  <phoneticPr fontId="3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AAS Model Checklist Information</vt:lpstr>
      <vt:lpstr>AAS Model Checklist</vt:lpstr>
      <vt:lpstr>AAS Model Checklist Result</vt:lpstr>
      <vt:lpstr>Additional Considerations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김현진</cp:lastModifiedBy>
  <dcterms:modified xsi:type="dcterms:W3CDTF">2026-10-06T14:04:05Z</dcterms:modified>
</cp:coreProperties>
</file>