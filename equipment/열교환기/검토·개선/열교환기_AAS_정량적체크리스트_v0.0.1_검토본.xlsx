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dRichValueTypes.xml" ContentType="application/vnd.ms-excel.rdrichvaluetypes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694d95134e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AS Model Checklist Information" sheetId="1" r:id="Rd15ced7f13cf40c6"/>
    <x:sheet xmlns:r="http://schemas.openxmlformats.org/officeDocument/2006/relationships" name="AAS Model Checklist" sheetId="2" r:id="R77ea65d942104ef3"/>
    <x:sheet xmlns:r="http://schemas.openxmlformats.org/officeDocument/2006/relationships" name="AAS Model Checklist Result" sheetId="3" r:id="R04da621502af49cc"/>
    <x:sheet xmlns:r="http://schemas.openxmlformats.org/officeDocument/2006/relationships" name="Additional Considerations" sheetId="4" r:id="R5e958dbed9d8437a"/>
    <x:sheet xmlns:r="http://schemas.openxmlformats.org/officeDocument/2006/relationships" name="검토근거" sheetId="5" r:id="Rfdd51d610bdc4b3f"/>
  </x:sheets>
</x:workbook>
</file>

<file path=xl/metadata1.xml><?xml version="1.0" encoding="utf-8"?>
<x:metadata xmlns:x="http://schemas.openxmlformats.org/spreadsheetml/2006/main">
  <x:metadataTypes count="1">
    <x:metadataType name="XLRICHVALUE" minSupportedVersion="120000" copy="1" pasteAll="1" pasteValues="1" merge="1" splitFirst="1" rowColShift="1" clearFormats="1" clearComments="1" assign="1" coerce="1"/>
  </x:metadataTypes>
  <x:futureMetadata name="XLRICHVALUE" count="2">
    <x:bk>
      <x:extLst>
        <x:ext uri="{3e2802c4-a4d2-4d8b-9148-e3be6c30e623}">
          <xlrd:rvb xmlns:xlrd="http://schemas.microsoft.com/office/spreadsheetml/2017/richdata" i="0"/>
        </x:ext>
      </x:extLst>
    </x:bk>
    <x:bk>
      <x:extLst>
        <x:ext uri="{3e2802c4-a4d2-4d8b-9148-e3be6c30e623}">
          <xlrd:rvb xmlns:xlrd="http://schemas.microsoft.com/office/spreadsheetml/2017/richdata" i="1"/>
        </x:ext>
      </x:extLst>
    </x:bk>
  </x:futureMetadata>
  <x:valueMetadata count="2">
    <x:bk>
      <x:rc t="1" v="0"/>
    </x:bk>
    <x:bk>
      <x:rc t="1" v="1"/>
    </x:bk>
  </x:valueMetadata>
</x:metadata>
</file>

<file path=xl/sharedStrings.xml><?xml version="1.0" encoding="utf-8"?>
<x:sst xmlns:x="http://schemas.openxmlformats.org/spreadsheetml/2006/main">
  <x:si>
    <x:t xml:space="preserve">AAS Model Checklist Information</x:t>
  </x:si>
  <x:si>
    <x:t xml:space="preserve">분류(대상)</x:t>
  </x:si>
  <x:si>
    <x:t xml:space="preserve">정보</x:t>
  </x:si>
  <x:si>
    <x:t xml:space="preserve">설명</x:t>
  </x:si>
  <x:si>
    <x:t xml:space="preserve">비고</x:t>
  </x:si>
  <x:si>
    <x:t xml:space="preserve">기본정보</x:t>
  </x:si>
  <x:si>
    <x:t xml:space="preserve">* 본 체크리스트는 2026년 중소기업벤처부 과제공고 기준을 대상으로 제작하였습니다.</x:t>
  </x:si>
  <x:si>
    <x:t xml:space="preserve">Id 버전</x:t>
  </x:si>
  <x:si>
    <x:t xml:space="preserve">AAS 모델링시 참조한 표준 및 근거자료에 대한 버전을 확인한다.
예시) CDD 버전, eCl@ss 버전, ETIM 버전 등</x:t>
  </x:si>
  <x:si>
    <x:t xml:space="preserve">IRDI 관련 내용</x:t>
  </x:si>
  <x:si>
    <x:t xml:space="preserve">작성하려는 항목의 IRDI가 CDD/eCl@ss에 존재하여야 하며, CDD/eCl@ss에 정의된 내용과 모두 일치해야만 CDD/eCl@ss에서 정의된 Semantic Id를 사용할 수 있다.
(예: 단위, 데이터 타입 등이 일부라도 일치하지 않으면 사용할 수 없다) </x:t>
  </x:si>
  <x:si>
    <x:t xml:space="preserve">IRI 양식</x:t>
  </x:si>
  <x:si>
    <x:r>
      <x:rPr>
        <x:sz val="10"/>
        <x:color rgb="FF000000"/>
      </x:rPr>
      <x:t xml:space="preserve">
구조 : 
- Submodel: </x:t>
    </x:r>
    <x:r>
      <x:rPr>
        <x:u val="single"/>
        <x:sz val="10"/>
        <x:color rgb="FF000000"/>
        <x:rFont val="맑은 고딕"/>
        <x:family val="3"/>
      </x:rPr>
      <x:t xml:space="preserve">KOSMO 홈페이지주소/ids/sm/AAS명/Submodel명/version
</x:t>
    </x:r>
    <x:r>
      <x:rPr>
        <x:sz val="10"/>
        <x:color rgb="FF000000"/>
        <x:rFont val="맑은 고딕"/>
        <x:family val="3"/>
        <x:scheme val="minor"/>
      </x:rPr>
      <x:t xml:space="preserve">예시) https://www.smart-factory.kr/ids/sm/ACB/TechnicalData/1/0
- Submodel 외 항목: </x:t>
    </x:r>
    <x:r>
      <x:rPr>
        <x:u val="single"/>
        <x:sz val="10"/>
        <x:color rgb="FF000000"/>
        <x:rFont val="맑은 고딕"/>
        <x:family val="3"/>
        <x:scheme val="minor"/>
      </x:rPr>
      <x:t xml:space="preserve">KOSMO 홈페이지주소/ids/카테고리/변수명/version
</x:t>
    </x:r>
    <x:r>
      <x:rPr>
        <x:sz val="10"/>
        <x:color rgb="FF000000"/>
        <x:rFont val="맑은 고딕"/>
        <x:family val="3"/>
        <x:scheme val="minor"/>
      </x:rPr>
      <x:t xml:space="preserve">예시) https://www.smart-factory.kr/ids/cd/TypeOfActuator/1/0
       https://www.smart-factory.kr/ids/aas/ACB/1/0
</x:t>
    </x:r>
    <x:r>
      <x:rPr>
        <x:sz val="10"/>
        <x:color rgb="FF000000"/>
        <x:rFont val="맑은 고딕"/>
        <x:family val="3"/>
      </x:rPr>
      <x:t xml:space="preserve">* IDTA 표준 서브모델 템플릿을 사용한 경우에는 IRI를 변경하지 않고, 그대로 사용해야 한다. 단, 서브모델의 Id는 IDTA에서 정의한 IRI가 있더라도 중기부에서 정의한 구조를 사용해야 한다.
</x:t>
    </x:r>
    <x:r>
      <x:rPr>
        <x:b/>
        <x:sz val="10"/>
        <x:color rgb="FF000000"/>
        <x:rFont val="맑은 고딕"/>
        <x:family val="2"/>
      </x:rPr>
      <x:t xml:space="preserve">* AAS와 Submodel에 한하여 administration에 버전 정보를 입력하고 ID 뒷부분 '/version' 과 일치 시킬것</x:t>
    </x:r>
    <x:r>
      <x:rPr>
        <x:sz val="10"/>
        <x:color rgb="FF000000"/>
        <x:rFont val="맑은 고딕"/>
        <x:family val="3"/>
      </x:rPr>
      <x:t xml:space="preserve">
</x:t>
    </x:r>
    <x:r>
      <x:rPr>
        <x:sz val="10"/>
        <x:color rgb="FF000000"/>
        <x:rFont val="맑은 고딕"/>
        <x:family val="3"/>
        <x:scheme val="minor"/>
      </x:rPr>
      <x:t xml:space="preserve">
* 용어설명
sm: Submodel
cd : ConceptDescription
aas : AAS
        </x:t>
    </x:r>
  </x:si>
  <x:si>
    <x:t xml:space="preserve">장비특화 Submodel 구성</x:t>
  </x:si>
  <x:si>
    <x:r>
      <x:rPr>
        <x:b/>
        <x:sz val="10"/>
        <x:color rgb="FF0070C0"/>
        <x:rFont val="맑은 고딕"/>
        <x:family val="3"/>
        <x:scheme val="minor"/>
      </x:rPr>
      <x:t xml:space="preserve">Technical Data 및 Operational Data를 포함한 장비특화 서브모델에서 Property를 추가할 경우 2단계 이상의 계층 세분화가 되어야 한다.
* Technical Data 서브모델 세분화는 IDTA 표준 구조 이후 장비특화 계층이 2단계 이상이어야 한다
</x:t>
    </x:r>
    <x:r>
      <x:rPr>
        <x:b/>
        <x:sz val="10"/>
        <x:color rgb="FF0070C0"/>
        <x:rFont val="맑은 고딕"/>
        <x:family val="3"/>
      </x:rPr>
      <x:t xml:space="preserve">* 각 계층과 컬렉션은 명확한 분류 목적을 가져야 하며, 별도의 모델링 근거 없이 단순히 하위 요소만을 포함하는 중간 SMC는 계층 세분화 요건을 충족하지 않은 것으로 판단함.</x:t>
    </x:r>
    <x:r>
      <x:rPr>
        <x:b/>
        <x:sz val="10"/>
        <x:color rgb="FF0070C0"/>
        <x:rFont val="맑은 고딕"/>
        <x:family val="2"/>
        <x:scheme val="minor"/>
      </x:rPr>
      <x:t xml:space="preserve">
</x:t>
    </x:r>
  </x:si>
  <x:si>
    <x:t xml:space="preserve">체크리스트
참조/공통체크사항</x:t>
  </x:si>
  <x:si>
    <x:t xml:space="preserve">idShort 설정여부</x:t>
  </x:si>
  <x:si>
    <x:r>
      <x:rPr>
        <x:sz val="10"/>
        <x:color rgb="FF000000"/>
      </x:rPr>
      <x:t xml:space="preserve">idShort가 설정되어 있는지 확인한다.
* Naming rule/Convention (권고사항)
① 공백, 특수문</x:t>
    </x:r>
    <x:r>
      <x:rPr>
        <x:sz val="10"/>
        <x:color rgb="FF000000"/>
        <x:rFont val="맑은 고딕"/>
        <x:family val="3"/>
        <x:scheme val="minor"/>
      </x:rPr>
      <x:t xml:space="preserve">자(‘_’, underbar, </x:t>
    </x:r>
    <x:r>
      <x:rPr>
        <x:sz val="10"/>
        <x:color rgb="FF000000"/>
        <x:rFont val="맑은 고딕"/>
        <x:family val="3"/>
      </x:rPr>
      <x:t xml:space="preserve">‘-‘, hyphen </x:t>
    </x:r>
    <x:r>
      <x:rPr>
        <x:sz val="10"/>
        <x:color rgb="FF000000"/>
        <x:rFont val="맑은 고딕"/>
        <x:family val="3"/>
        <x:scheme val="minor"/>
      </x:rPr>
      <x:t xml:space="preserve">제외)를</x:t>
    </x:r>
    <x:r>
      <x:rPr>
        <x:sz val="10"/>
        <x:color rgb="FF000000"/>
        <x:rFont val="맑은 고딕"/>
        <x:family val="3"/>
        <x:scheme val="minor"/>
      </x:rPr>
      <x:t xml:space="preserve"> 포함하지 않음
② 일관된 표기법 사용 / 예) 모든 단어를 띄어쓰기 없이 대문자로 시작
예시) "Rated voltage" -&gt; "RatedVoltage" 또는 "Rated_Voltage" 등등</x:t>
    </x:r>
  </x:si>
  <x:si>
    <x:t xml:space="preserve">Id</x:t>
  </x:si>
  <x:si>
    <x:t xml:space="preserve">각 항목의 Id 양식을 확인하고, IRDI 형식인지 IRI 형식인지 구분한다.
IRDI인 경우, 해당 항목이 CDD/Ecl@ss에 존재하여야 한다.
IRI인 경우, 정해진 양식을 준수하고 있는지 확인한다.</x:t>
  </x:si>
  <x:si>
    <x:t xml:space="preserve">description 또는 definition 여부</x:t>
  </x:si>
  <x:si>
    <x:t xml:space="preserve">해당 항목에 대한 description 또는 definition이 작성되어 있는지 확인한다.
모든 서브모델 엘리먼트는 시맨틱 정보를 정의하는 정상적인 Concept Description(CD)을 가져야 함 
정상적인 CD란 Preferred Name, Definition를 필수 포함하고, 선택적으로 적절한 DataType, Unit이 포함되어야 함 
단, Definition의 경우 영문으로 작성된 정의는 반드시 포함되어야 함</x:t>
  </x:si>
  <x:si>
    <x:t xml:space="preserve">기타</x:t>
  </x:si>
  <x:si>
    <x:r>
      <x:rPr>
        <x:sz val="10"/>
        <x:color rgb="FF000000"/>
      </x:rPr>
      <x:t xml:space="preserve">① IDTA가 배포한 서브모델 내부에 자체적으로 포함되어 있는 오류에 대해서는 수정하지 않아야 한다.
예시) IRDI 2개 포함, definition 미작성 등 
② Ecl@ss, CDD에서 정의되어 있지 않은 definition은 자체적으로 정의하지 않고 그대로 사용하여야 한다.
</x:t>
    </x:r>
    <x:r>
      <x:rPr>
        <x:sz val="10"/>
        <x:color rgb="FF000000"/>
        <x:rFont val="맑은 고딕"/>
        <x:family val="3"/>
      </x:rPr>
      <x:t xml:space="preserve">③ Property의 완성도 및 충실도에 대한 정성적 평가를 진행한다. 즉, 본 체크리스트를 통해 정량적으로 평가하지는 않지만, 이후 전문가들에 의해 Property 개수, Property 의미 등이 정성적으로 평가될 예정이다.</x:t>
    </x:r>
    <x:r>
      <x:rPr>
        <x:sz val="10"/>
        <x:color rgb="FF000000"/>
        <x:rFont val="맑은 고딕"/>
        <x:family val="3"/>
        <x:scheme val="minor"/>
      </x:rPr>
      <x:t xml:space="preserve">
</x:t>
    </x:r>
    <x:r>
      <x:rPr>
        <x:b/>
        <x:sz val="10"/>
        <x:color rgb="FF000000"/>
        <x:rFont val="맑은 고딕"/>
        <x:family val="3"/>
      </x:rPr>
      <x:t xml:space="preserve">④ Technical Data, Operational Data 서브모델 포함(단, Digital Nameplate, Handover Documentation 서브모델 제외) "설비/장비의 특징을 반영하는" 최소 4개 서브모델에 대해서는, 장비 특화 추가 프로퍼티 항목에 대한 value example을  참조모델 및 활용 가이던스 문서에 제시해야 한다.</x:t>
    </x:r>
    <x:r>
      <x:rPr>
        <x:sz val="10"/>
        <x:color rgb="FF000000"/>
        <x:rFont val="맑은 고딕"/>
        <x:family val="3"/>
      </x:rPr>
      <x:t xml:space="preserve">
</x:t>
    </x:r>
    <x:r>
      <x:rPr>
        <x:sz val="10"/>
        <x:color rgb="FF000000"/>
        <x:rFont val="맑은 고딕"/>
        <x:family val="2"/>
      </x:rPr>
      <x:t xml:space="preserve">⑤ 모</x:t>
    </x:r>
    <x:r>
      <x:rPr>
        <x:sz val="10"/>
        <x:color rgb="FF000000"/>
        <x:rFont val="맑은 고딕"/>
        <x:family val="3"/>
      </x:rPr>
      <x:t xml:space="preserve">델 제출 시에는 "「AAS 제조데이터 표준 참조모델 사전 검증 보고서」 작성 요령"에 따라 사전 검증보고서를 제출하여야 한다.</x:t>
    </x:r>
  </x:si>
  <x:si>
    <x:t xml:space="preserve">번호</x:t>
  </x:si>
  <x:si>
    <x:t xml:space="preserve">중요도</x:t>
  </x:si>
  <x:si>
    <x:t xml:space="preserve">체크사항</x:t>
  </x:si>
  <x:si>
    <x:t xml:space="preserve">체크</x:t>
  </x:si>
  <x:si>
    <x:t xml:space="preserve">비고 (검토의견)</x:t>
  </x:si>
  <x:si>
    <x:t xml:space="preserve">기본사항</x:t>
  </x:si>
  <x:si>
    <x:t xml:space="preserve">필수</x:t>
  </x:si>
  <x:si>
    <x:t xml:space="preserve">Thumnail</x:t>
  </x:si>
  <x:si>
    <x:t xml:space="preserve">AASX 파일에 Thumbnail 이미지가 포함되어 있으며, AssetInformation의 defaultThumbnail에 동일한 경로가 설정되어 있는지 확인한다.</x:t>
  </x:si>
  <x:si>
    <x:t xml:space="preserve">공통</x:t>
  </x:si>
  <x:si>
    <x:t xml:space="preserve">idShort가 설정되어 있는지 확인한다.</x:t>
  </x:si>
  <x:si>
    <x:t xml:space="preserve">idShort 명명규칙</x:t>
  </x:si>
  <x:si>
    <x:r>
      <x:rPr>
        <x:b/>
        <x:sz val="10"/>
        <x:color rgb="FF000000"/>
      </x:rPr>
      <x:t xml:space="preserve">idShort가 정의된 양식을 준수하고 있는지 확인한다.
※ 예외사항</x:t>
    </x:r>
    <x:r>
      <x:rPr>
        <x:b/>
        <x:sz val="10"/>
        <x:color rgb="FF000000"/>
        <x:rFont val="맑은 고딕"/>
        <x:family val="3"/>
        <x:scheme val="minor"/>
      </x:rPr>
      <x:t xml:space="preserve">
</x:t>
    </x:r>
    <x:r>
      <x:rPr>
        <x:b/>
        <x:sz val="10"/>
        <x:color rgb="FF000000"/>
        <x:rFont val="맑은 고딕"/>
        <x:family val="3"/>
      </x:rPr>
      <x:t xml:space="preserve">Submodel Element List의 하위에 속하는 Submodel Element는 idShort를 작성하지 않아도 되며, 작성하는 경우 명명규칙을 준수하여야 함</x:t>
    </x:r>
  </x:si>
  <x:si>
    <x:t xml:space="preserve">AAS</x:t>
  </x:si>
  <x:si>
    <x:r>
      <x:rPr>
        <x:sz val="10"/>
        <x:color rgb="FF000000"/>
      </x:rPr>
      <x:t xml:space="preserve">각 항목의 Id 양식을 확인하고, IRDI 형식인지 IRI 형식인지 구분한다.
IRI인 경우, 정해진 양식을 준수하고 있는지 확인한다.
</x:t>
    </x:r>
    <x:r>
      <x:rPr>
        <x:b/>
        <x:sz val="10"/>
        <x:color rgb="FF000000"/>
        <x:rFont val="맑은 고딕"/>
        <x:family val="3"/>
      </x:rPr>
      <x:t xml:space="preserve">* administration에 버전 정보를 입력하고 ID 뒷부분 '/version' 과 일치 시킬것</x:t>
    </x:r>
  </x:si>
  <x:si>
    <x:t xml:space="preserve">Submodel 구성</x:t>
  </x:si>
  <x:si>
    <x:r>
      <x:rPr>
        <x:sz val="10"/>
        <x:color rgb="FF000000"/>
      </x:rPr>
      <x:t xml:space="preserve">AAS 모델링에서 필수적인 성격을 지닌 아래의 4가지 Submodel이 포함되어 있으며</x:t>
    </x:r>
    <x:r>
      <x:rPr>
        <x:b/>
        <x:sz val="10"/>
        <x:color rgb="FF000000"/>
        <x:rFont val="맑은 고딕"/>
        <x:family val="3"/>
        <x:scheme val="minor"/>
      </x:rPr>
      <x:t xml:space="preserve"> 총 6종 이상 8종 이하의 Submodel로 구성되어 있는지 확인한다.</x:t>
    </x:r>
    <x:r>
      <x:rPr>
        <x:sz val="10"/>
        <x:color rgb="FF000000"/>
        <x:rFont val="맑은 고딕"/>
        <x:family val="3"/>
        <x:scheme val="minor"/>
      </x:rPr>
      <x:t xml:space="preserve">
① </x:t>
    </x:r>
    <x:r>
      <x:rPr>
        <x:b/>
        <x:sz val="10"/>
        <x:color rgb="FF000000"/>
        <x:rFont val="맑은 고딕"/>
        <x:family val="3"/>
        <x:scheme val="minor"/>
      </x:rPr>
      <x:t xml:space="preserve">Digital Nameplate</x:t>
    </x:r>
    <x:r>
      <x:rPr>
        <x:sz val="10"/>
        <x:color rgb="FF000000"/>
        <x:rFont val="맑은 고딕"/>
        <x:family val="3"/>
        <x:scheme val="minor"/>
      </x:rPr>
      <x:t xml:space="preserve">, ② </x:t>
    </x:r>
    <x:r>
      <x:rPr>
        <x:b/>
        <x:sz val="10"/>
        <x:color rgb="FF000000"/>
        <x:rFont val="맑은 고딕"/>
        <x:family val="3"/>
      </x:rPr>
      <x:t xml:space="preserve">Handover Documentation,</x:t>
    </x:r>
    <x:r>
      <x:rPr>
        <x:sz val="10"/>
        <x:color rgb="FF000000"/>
        <x:rFont val="맑은 고딕"/>
        <x:family val="3"/>
        <x:scheme val="minor"/>
      </x:rPr>
      <x:t xml:space="preserve">
③ Technical Data, ④ </x:t>
    </x:r>
    <x:r>
      <x:rPr>
        <x:sz val="10"/>
        <x:color rgb="FF000000"/>
        <x:rFont val="맑은 고딕"/>
        <x:family val="3"/>
      </x:rPr>
      <x:t xml:space="preserve">Operational Data</x:t>
    </x:r>
  </x:si>
  <x:si>
    <x:t xml:space="preserve">옵션</x:t>
  </x:si>
  <x:si>
    <x:t xml:space="preserve">globalAssetId 여부</x:t>
  </x:si>
  <x:si>
    <x:t xml:space="preserve">globalAssetId가 설정되어 있는지 확인한다.</x:t>
  </x:si>
  <x:si>
    <x:t xml:space="preserve">Type종류</x:t>
  </x:si>
  <x:si>
    <x:t xml:space="preserve">'kind'가 'Type'으로 지정되어 있는지 확인한다.</x:t>
  </x:si>
  <x:si>
    <x:t xml:space="preserve">Submodel</x:t>
  </x:si>
  <x:si>
    <x:t xml:space="preserve">최신 Version 여부</x:t>
  </x:si>
  <x:si>
    <x:t xml:space="preserve">IDTA 서브모델 템플릿을 활용하는 경우, 최신 버전의 템플릿을 사용하고 있는지 확인한다.</x:t>
  </x:si>
  <x:si>
    <x:t xml:space="preserve">Semantic ID</x:t>
  </x:si>
  <x:si>
    <x:r>
      <x:rPr>
        <x:sz val="10"/>
        <x:color rgb="FF000000"/>
      </x:rPr>
      <x:t xml:space="preserve">Semantic ID가 작성되어 있는지 확인한다. 
</x:t>
    </x:r>
    <x:r>
      <x:rPr>
        <x:sz val="10"/>
        <x:color rgb="FF000000"/>
        <x:rFont val="맑은 고딕"/>
        <x:family val="3"/>
      </x:rPr>
      <x:t xml:space="preserve">표준 서브모델이 아닌 경우, 적절한 형식의 IRI 식별자인지 확인한다.</x:t>
    </x:r>
  </x:si>
  <x:si>
    <x:t xml:space="preserve">kind</x:t>
  </x:si>
  <x:si>
    <x:t xml:space="preserve">'kind'가 'Template'으로 지정되어 있는지 확인한다</x:t>
  </x:si>
  <x:si>
    <x:t xml:space="preserve">계층 세분화</x:t>
  </x:si>
  <x:si>
    <x:r>
      <x:rPr>
        <x:b/>
        <x:sz val="10"/>
        <x:color rgb="FF000000"/>
      </x:rPr>
      <x:t xml:space="preserve">장비 특화 프로퍼티를 포함하는 서브모델이 2단계 이상의 계층 세분화가 되었는지 확인한다.
※ 예외사항
* IDTA 기본 템플릿은 계층 세분화에서 제외하며, Technical Data 서브모델의 경우 표준 구조 이외 세분화가 2단계 이상이어야 한다.
</x:t>
    </x:r>
    <x:r>
      <x:rPr>
        <x:b/>
        <x:sz val="10"/>
        <x:color rgb="FF000000"/>
        <x:rFont val="맑은 고딕"/>
        <x:family val="3"/>
      </x:rPr>
      <x:t xml:space="preserve">* 각 계층과 컬렉션은 명확한 분류 목적을 가져야 하며, 별도의 모델링 근거 없이 단순히 하위 요소만을 포함하는 중간 SMC는 계층 세분화 요건을 충족하지 않은 것으로 판단함.</x:t>
    </x:r>
  </x:si>
  <x:si>
    <x:t xml:space="preserve">SME
(Submodel Element) </x:t>
  </x:si>
  <x:si>
    <x:t xml:space="preserve">특수 SME 배제 여부</x:t>
  </x:si>
  <x:si>
    <x:r>
      <x:rPr>
        <x:b/>
        <x:sz val="10"/>
        <x:color rgb="FF000000"/>
      </x:rPr>
      <x:t xml:space="preserve">AAS 참조모델 개발 시 사용을 지양하는 Operation, BasicEventElement, </x:t>
    </x:r>
    <x:r>
      <x:rPr>
        <x:b/>
        <x:sz val="10"/>
        <x:color rgb="FF000000"/>
        <x:rFont val="맑은 고딕"/>
        <x:family val="3"/>
      </x:rPr>
      <x:t xml:space="preserve">Capability </x:t>
    </x:r>
    <x:r>
      <x:rPr>
        <x:b/>
        <x:sz val="10"/>
        <x:color rgb="FF000000"/>
        <x:rFont val="맑은 고딕"/>
        <x:family val="3"/>
        <x:scheme val="minor"/>
      </x:rPr>
      <x:t xml:space="preserve">엘리먼트가 사용되지 않았는지 확인한다.</x:t>
    </x:r>
  </x:si>
  <x:si>
    <x:t xml:space="preserve">Concept Description 매핑여부</x:t>
  </x:si>
  <x:si>
    <x:t xml:space="preserve">Submodel Elements가 Concept Description과 올바르게 매핑되어 있는지 확인한다 </x:t>
  </x:si>
  <x:si>
    <x:t xml:space="preserve">SME 중
Property</x:t>
  </x:si>
  <x:si>
    <x:t xml:space="preserve">value 값 여부</x:t>
  </x:si>
  <x:si>
    <x:r>
      <x:rPr>
        <x:b/>
        <x:sz val="10"/>
        <x:color rgb="FF000000"/>
      </x:rPr>
      <x:t xml:space="preserve">value값에 Example Data가 기입 되었는지 확인한다. 
</x:t>
    </x:r>
    <x:r>
      <x:rPr>
        <x:b/>
        <x:sz val="10"/>
        <x:color rgb="FF000000"/>
        <x:rFont val="맑은 고딕"/>
        <x:family val="3"/>
      </x:rPr>
      <x:t xml:space="preserve">* DigitalNameplate, HandoverDocumentation 제외</x:t>
    </x:r>
  </x:si>
  <x:si>
    <x:t xml:space="preserve">Concept Description과 
data type 매칭여부</x:t>
  </x:si>
  <x:si>
    <x:t xml:space="preserve">valueType이 설정되어야 하며, 
연결된 Concept Description의 dataType과 매칭되는 데이터 타입으로 설정되어야 한다</x:t>
  </x:si>
  <x:si>
    <x:t xml:space="preserve">ConceptDescription</x:t>
  </x:si>
  <x:si>
    <x:t xml:space="preserve">각 항목의 Id 양식을 확인하고, IRDI 형식인지 IRI 형식인지 구분한다.
* IRDI인 경우, 해당 항목이 CDD/Ecl@ss에 존재하여야 한다.
* IRI인 경우, 정해진 양식을 준수하고 있는지 확인한다.</x:t>
  </x:si>
  <x:si>
    <x:t xml:space="preserve">definition 여부</x:t>
  </x:si>
  <x:si>
    <x:t xml:space="preserve">해당 항목에 대한 definition이 작성되어 있는지 확인한다.
* description이 작성되어 있는 경우도 포함</x:t>
  </x:si>
  <x:si>
    <x:t xml:space="preserve">dataType 설정여부</x:t>
  </x:si>
  <x:si>
    <x:t xml:space="preserve">Concept Description의 dataType이 설정되어 있는지 확인한다
* eCl@ss/CDD에서 dataType이 정의되어 있지 않은 경우는 제외</x:t>
  </x:si>
  <x:si>
    <x:t xml:space="preserve">- IDTA가 배포한 서브모델 내부에 자체적으로 포함되어 있는 오류에 대해서는 수정하지 않아야 한다.
- Ecl@ss, CDD에서 정의되어 있지 않은 definition은 자체적으로 정의하지 않고 그대로 사용하여야 한다.
- Property의 완성도 및 충실도에 대한 정성적 평가를 진행한다. 즉, 본 체크리스트를 통해 정량적으로 평가하지는 않지만, 이후 전문가들에 의해 Property 개수, Property 의미 등이 정성적으로 평가될 예정이다.</x:t>
  </x:si>
  <x:si>
    <x:t xml:space="preserve">합계</x:t>
  </x:si>
  <x:si>
    <x:t xml:space="preserve">분류</x:t>
  </x:si>
  <x:si>
    <x:t xml:space="preserve">기준항목</x:t>
  </x:si>
  <x:si>
    <x:t xml:space="preserve">세부항목</x:t>
  </x:si>
  <x:si>
    <x:t xml:space="preserve">개수</x:t>
  </x:si>
  <x:si>
    <x:t xml:space="preserve">%</x:t>
  </x:si>
  <x:si>
    <x:t xml:space="preserve">단순통계</x:t>
  </x:si>
  <x:si>
    <x:t xml:space="preserve">체크사항 충족 항목</x:t>
  </x:si>
  <x:si>
    <x:t xml:space="preserve">-</x:t>
  </x:si>
  <x:si>
    <x:t xml:space="preserve">총 체크사항</x:t>
  </x:si>
  <x:si>
    <x:t xml:space="preserve">'중요도'기준 통계</x:t>
  </x:si>
  <x:si>
    <x:r>
      <x:rPr>
        <x:sz val="10"/>
        <x:color rgb="FF000000"/>
      </x:rPr>
      <x:t xml:space="preserve">"필수" 中 </x:t>
    </x:r>
    <x:r>
      <x:rPr>
        <x:sz val="10"/>
        <x:color rgb="FF000000"/>
        <x:rFont val="Wingdings"/>
        <x:family val="2"/>
      </x:rPr>
      <x:t xml:space="preserve"></x:t>
    </x:r>
  </x:si>
  <x:si>
    <x:t xml:space="preserve">필수 체크사항 충족 항목</x:t>
  </x:si>
  <x:si>
    <x:r>
      <x:rPr>
        <x:sz val="10"/>
        <x:color rgb="FF000000"/>
      </x:rPr>
      <x:t xml:space="preserve">"필수" 中 </x:t>
    </x:r>
    <x:r>
      <x:rPr>
        <x:sz val="10"/>
        <x:color rgb="FF000000"/>
        <x:rFont val="Wingdings"/>
        <x:family val="2"/>
      </x:rPr>
      <x:t xml:space="preserve"></x:t>
    </x:r>
  </x:si>
  <x:si>
    <x:r>
      <x:rPr>
        <x:sz val="10"/>
        <x:color rgb="FF000000"/>
      </x:rPr>
      <x:t xml:space="preserve">"옵션" 中 </x:t>
    </x:r>
    <x:r>
      <x:rPr>
        <x:sz val="10"/>
        <x:color rgb="FF000000"/>
        <x:rFont val="Wingdings"/>
        <x:family val="2"/>
      </x:rPr>
      <x:t xml:space="preserve"></x:t>
    </x:r>
  </x:si>
  <x:si>
    <x:t xml:space="preserve">옵션 체크사항 충족 항목</x:t>
  </x:si>
  <x:si>
    <x:r>
      <x:rPr>
        <x:sz val="10"/>
        <x:color rgb="FF000000"/>
      </x:rPr>
      <x:t xml:space="preserve">"옵션" 中 </x:t>
    </x:r>
    <x:r>
      <x:rPr>
        <x:sz val="10"/>
        <x:color rgb="FF000000"/>
        <x:rFont val="Wingdings"/>
        <x:family val="2"/>
      </x:rPr>
      <x:t xml:space="preserve"></x:t>
    </x:r>
  </x:si>
</x:sst>
</file>

<file path=xl/styles.xml><?xml version="1.0" encoding="utf-8"?>
<x:styleSheet xmlns:x="http://schemas.openxmlformats.org/spreadsheetml/2006/main">
  <x:fonts count="32">
    <x:font>
      <x:sz val="11"/>
      <x:color theme="1"/>
      <x:name val="맑은 고딕"/>
    </x:font>
    <x:font>
      <x:sz val="11"/>
      <x:color theme="1"/>
      <x:name val="맑은 고딕"/>
    </x:font>
    <x:font>
      <x:sz val="8"/>
      <x:name val="맑은 고딕"/>
    </x:font>
    <x:font>
      <x:b/>
      <x:sz val="10"/>
      <x:color theme="0"/>
      <x:name val="맑은 고딕"/>
    </x:font>
    <x:font>
      <x:sz val="10"/>
      <x:color theme="1"/>
      <x:name val="맑은 고딕"/>
    </x:font>
    <x:font>
      <x:b/>
      <x:sz val="10"/>
      <x:color theme="1"/>
      <x:name val="맑은 고딕"/>
    </x:font>
    <x:font>
      <x:sz val="10"/>
      <x:color rgb="FF000000"/>
      <x:name val="맑은 고딕"/>
    </x:font>
    <x:font>
      <x:sz val="10"/>
      <x:color theme="1"/>
      <x:name val="Arial Unicode MS"/>
    </x:font>
    <x:font>
      <x:sz val="10"/>
      <x:color theme="1"/>
      <x:name val="맑은 고딕"/>
    </x:font>
    <x:font>
      <x:b/>
      <x:sz val="14"/>
      <x:color theme="0"/>
      <x:name val="맑은 고딕"/>
    </x:font>
    <x:font>
      <x:sz val="10"/>
      <x:color theme="1"/>
      <x:name val="Wingdings"/>
    </x:font>
    <x:font>
      <x:sz val="10"/>
      <x:color theme="1"/>
      <x:name val="맑은 고딕"/>
    </x:font>
    <x:font>
      <x:sz val="11"/>
      <x:color rgb="FF00B050"/>
      <x:name val="맑은 고딕"/>
    </x:font>
    <x:font>
      <x:sz val="10"/>
      <x:color rgb="FF00B050"/>
      <x:name val="맑은 고딕"/>
    </x:font>
    <x:font>
      <x:sz val="11"/>
      <x:color rgb="FF00B050"/>
      <x:name val="맑은 고딕"/>
    </x:font>
    <x:font>
      <x:sz val="11"/>
      <x:name val="맑은 고딕"/>
    </x:font>
    <x:font>
      <x:b/>
      <x:sz val="11"/>
      <x:color theme="1"/>
      <x:name val="맑은 고딕"/>
    </x:font>
    <x:font>
      <x:b/>
      <x:sz val="16"/>
      <x:color theme="0"/>
      <x:name val="맑은 고딕"/>
    </x:font>
    <x:font>
      <x:sz val="10"/>
      <x:color theme="1"/>
      <x:name val="맑은 고딕"/>
    </x:font>
    <x:font>
      <x:sz val="10"/>
      <x:color theme="1"/>
      <x:name val="맑은 고딕"/>
    </x:font>
    <x:font>
      <x:sz val="10"/>
      <x:color theme="1"/>
      <x:name val="맑은 고딕"/>
    </x:font>
    <x:font>
      <x:b/>
      <x:sz val="10"/>
      <x:color theme="1"/>
      <x:name val="Arial Unicode MS"/>
    </x:font>
    <x:font>
      <x:b/>
      <x:sz val="10"/>
      <x:color rgb="FF0070C0"/>
      <x:name val="맑은 고딕"/>
    </x:font>
    <x:font>
      <x:sz val="10"/>
      <x:color theme="1"/>
      <x:name val="맑은 고딕"/>
    </x:font>
    <x:font>
      <x:b/>
      <x:sz val="10"/>
      <x:color rgb="FF0070C0"/>
      <x:name val="맑은 고딕"/>
    </x:font>
    <x:font>
      <x:b/>
      <x:sz val="10"/>
      <x:color theme="1"/>
      <x:name val="맑은 고딕"/>
    </x:font>
    <x:font>
      <x:b/>
      <x:sz val="10"/>
      <x:color theme="1"/>
      <x:name val="맑은 고딕"/>
    </x:font>
    <x:font>
      <x:b/>
      <x:sz val="10"/>
      <x:color rgb="FFFF0000"/>
      <x:name val="맑은 고딕"/>
    </x:font>
    <x:font>
      <x:b/>
      <x:sz val="10"/>
      <x:color rgb="FFFF0000"/>
      <x:name val="맑은 고딕"/>
    </x:font>
    <x:font>
      <x:sz val="10"/>
      <x:color rgb="FFFF0000"/>
      <x:name val="맑은 고딕"/>
    </x:font>
    <x:font>
      <x:b/>
      <x:sz val="11"/>
      <x:color rgb="FFFFFFFF"/>
      <x:name val="맑은 고딕"/>
    </x:font>
    <x:font>
      <x:sz val="9"/>
      <x:color theme="1"/>
      <x:name val="맑은 고딕"/>
    </x:font>
  </x:fonts>
  <x:fills count="11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0000FF"/>
      </x:patternFill>
    </x:fill>
    <x:fill>
      <x:patternFill patternType="solid">
        <x:fgColor rgb="FFC0CCFF"/>
      </x:patternFill>
    </x:fill>
    <x:fill>
      <x:patternFill patternType="solid">
        <x:fgColor theme="0" tint="-0.15"/>
      </x:patternFill>
    </x:fill>
    <x:fill>
      <x:patternFill patternType="solid">
        <x:fgColor rgb="FFFFFFCC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E2F0D9"/>
      </x:patternFill>
    </x:fill>
    <x:fill>
      <x:patternFill patternType="solid">
        <x:fgColor rgb="FFD9E2F3"/>
      </x:patternFill>
    </x:fill>
  </x:fills>
  <x:borders count="10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</x:border>
  </x:borders>
  <x:cellStyleXfs count="2">
    <x:xf numFmtId="0" fontId="0" fillId="0" borderId="0">
      <x:alignment vertical="center"/>
    </x:xf>
    <x:xf numFmtId="0" fontId="1" fillId="2" borderId="1" applyNumberFormat="0" applyFont="0" applyAlignment="0" applyProtection="0">
      <x:alignment vertical="center"/>
    </x:xf>
  </x:cellStyleXfs>
  <x:cellXfs count="128">
    <x:xf numFmtId="0" fontId="0" fillId="0" borderId="0" xfId="0">
      <x:alignment vertical="center"/>
    </x:xf>
    <x:xf numFmtId="0" fontId="5" fillId="4" borderId="2" xfId="0" applyFont="1" applyFill="1" applyBorder="1" applyAlignment="1">
      <x:alignment horizontal="center" vertical="center"/>
    </x:xf>
    <x:xf numFmtId="0" fontId="5" fillId="4" borderId="2" xfId="0" applyFont="1" applyFill="1" applyBorder="1" applyAlignment="1">
      <x:alignment horizontal="center" vertical="center" wrapText="1"/>
    </x:xf>
    <x:xf numFmtId="0" fontId="5" fillId="5" borderId="2" xfId="0" applyFont="1" applyFill="1" applyBorder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 wrapText="1"/>
    </x:xf>
    <x:xf numFmtId="0" fontId="6" fillId="0" borderId="2" xfId="0" applyFont="1" applyBorder="1" applyAlignment="1">
      <x:alignment horizontal="left" vertical="center" wrapText="1"/>
    </x:xf>
    <x:xf numFmtId="0" fontId="4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center" vertical="center" wrapText="1"/>
    </x:xf>
    <x:xf numFmtId="0" fontId="8" fillId="0" borderId="2" xfId="0" applyFont="1" applyBorder="1" applyAlignment="1">
      <x:alignment horizontal="center" vertical="center"/>
    </x:xf>
    <x:xf numFmtId="0" fontId="8" fillId="0" borderId="0" xfId="0" applyFont="1">
      <x:alignment vertical="center"/>
    </x:xf>
    <x:xf numFmtId="0" fontId="3" fillId="0" borderId="0" xfId="0" applyFont="1">
      <x:alignment vertical="center"/>
    </x:xf>
    <x:xf numFmtId="0" fontId="8" fillId="2" borderId="2" xfId="1" applyFont="1" applyBorder="1" applyAlignment="1">
      <x:alignment horizontal="center" vertical="center"/>
    </x:xf>
    <x:xf numFmtId="0" fontId="8" fillId="2" borderId="2" xfId="1" applyFont="1" applyBorder="1" applyAlignment="1">
      <x:alignment horizontal="center" vertical="center"/>
    </x:xf>
    <x:xf numFmtId="0" fontId="8" fillId="2" borderId="2" xfId="1" applyFont="1" applyBorder="1" applyAlignment="1">
      <x:alignment horizontal="center" vertical="center" wrapText="1"/>
    </x:xf>
    <x:xf numFmtId="0" fontId="4" fillId="0" borderId="2" xfId="0" applyFont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Font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Font="1">
      <x:alignment vertical="center"/>
    </x:xf>
    <x:xf numFmtId="0" fontId="0" fillId="0" borderId="0" xfId="0" applyAlignment="1">
      <x:alignment vertical="center" wrapText="1"/>
    </x:xf>
    <x:xf numFmtId="0" fontId="11" fillId="0" borderId="0" xfId="0" applyFont="1" applyAlignment="1">
      <x:alignment vertical="center" wrapText="1"/>
    </x:xf>
    <x:xf numFmtId="0" fontId="8" fillId="0" borderId="0" xfId="0" applyFont="1" applyAlignment="1">
      <x:alignment vertical="center" wrapText="1"/>
    </x:xf>
    <x:xf numFmtId="0" fontId="8" fillId="0" borderId="0" xfId="0" applyFont="1" applyAlignment="1">
      <x:alignment vertical="center" wrapText="1"/>
    </x:xf>
    <x:xf numFmtId="0" fontId="0" fillId="0" borderId="0" xfId="0" applyAlignment="1">
      <x:alignment horizontal="center" vertical="center"/>
    </x:xf>
    <x:xf numFmtId="0" fontId="12" fillId="0" borderId="0" xfId="0" applyFont="1">
      <x:alignment vertical="center"/>
    </x:xf>
    <x:xf numFmtId="0" fontId="13" fillId="0" borderId="0" xfId="0" applyFont="1" applyAlignment="1">
      <x:alignment vertical="center" wrapText="1"/>
    </x:xf>
    <x:xf numFmtId="0" fontId="14" fillId="0" borderId="0" xfId="0" applyFont="1" applyAlignment="1">
      <x:alignment vertical="center" wrapText="1"/>
    </x:xf>
    <x:xf numFmtId="0" fontId="15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 wrapText="1"/>
    </x:xf>
    <x:xf numFmtId="0" fontId="16" fillId="4" borderId="2" xfId="0" applyFont="1" applyFill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 wrapText="1"/>
    </x:xf>
    <x:xf numFmtId="0" fontId="3" fillId="0" borderId="0" xfId="0" applyFont="1" applyAlignment="1">
      <x:alignment vertical="center" wrapText="1"/>
    </x:xf>
    <x:xf numFmtId="0" fontId="10" fillId="0" borderId="0" xfId="0" applyFont="1">
      <x:alignment vertical="center"/>
    </x:xf>
    <x:xf numFmtId="0" fontId="18" fillId="0" borderId="2" xfId="0" applyFont="1" applyBorder="1" applyAlignment="1">
      <x:alignment horizontal="center" vertical="center"/>
    </x:xf>
    <x:xf numFmtId="0" fontId="18" fillId="6" borderId="2" xfId="0" applyFont="1" applyFill="1" applyBorder="1" applyAlignment="1">
      <x:alignment horizontal="center" vertical="center"/>
    </x:xf>
    <x:xf numFmtId="0" fontId="4" fillId="0" borderId="2" xfId="0" applyFont="1" applyBorder="1">
      <x:alignment vertical="center"/>
    </x:xf>
    <x:xf numFmtId="0" fontId="6" fillId="0" borderId="2" xfId="0" applyFont="1" applyBorder="1" applyAlignment="1">
      <x:alignment horizontal="left" vertical="center"/>
    </x:xf>
    <x:xf numFmtId="0" fontId="4" fillId="0" borderId="2" xfId="0" applyFont="1" applyBorder="1" applyAlignment="1">
      <x:alignment horizontal="left" vertical="center"/>
    </x:xf>
    <x:xf numFmtId="0" fontId="18" fillId="0" borderId="2" xfId="0" applyFont="1" applyBorder="1" applyAlignment="1">
      <x:alignment vertical="center" wrapText="1"/>
    </x:xf>
    <x:xf numFmtId="0" fontId="5" fillId="0" borderId="2" xfId="0" applyFont="1" applyBorder="1" applyAlignment="1">
      <x:alignment horizontal="center" vertical="center"/>
    </x:xf>
    <x:xf numFmtId="0" fontId="4" fillId="0" borderId="2" xfId="0" applyFont="1" applyBorder="1" applyAlignment="1">
      <x:alignment vertical="center" wrapText="1"/>
    </x:xf>
    <x:xf numFmtId="0" fontId="8" fillId="0" borderId="2" xfId="0" applyFont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" fillId="0" borderId="2" xfId="0" applyFont="1" applyBorder="1" applyAlignment="1">
      <x:alignment horizontal="center" vertical="center"/>
    </x:xf>
    <x:xf numFmtId="0" fontId="11" fillId="0" borderId="2" xfId="0" applyFont="1" applyBorder="1" applyAlignment="1">
      <x:alignment vertical="center" wrapText="1"/>
    </x:xf>
    <x:xf numFmtId="0" fontId="22" fillId="0" borderId="2" xfId="0" applyFont="1" applyBorder="1" applyAlignment="1">
      <x:alignment horizontal="left" vertical="center" wrapText="1"/>
    </x:xf>
    <x:xf numFmtId="0" fontId="5" fillId="0" borderId="2" xfId="0" applyFont="1" applyBorder="1" applyAlignment="1">
      <x:alignment horizontal="center" vertical="center" wrapText="1"/>
    </x:xf>
    <x:xf numFmtId="0" fontId="11" fillId="0" borderId="2" xfId="0" applyFont="1" applyBorder="1" applyAlignment="1">
      <x:alignment horizontal="left" vertical="center" wrapText="1"/>
    </x:xf>
    <x:xf numFmtId="0" fontId="5" fillId="0" borderId="2" xfId="0" applyFont="1" applyBorder="1" applyAlignment="1">
      <x:alignment horizontal="left" vertical="center" wrapText="1"/>
    </x:xf>
    <x:xf numFmtId="0" fontId="5" fillId="0" borderId="2" xfId="0" applyFont="1" applyBorder="1" applyAlignment="1">
      <x:alignment horizontal="left" vertical="center" wrapText="1"/>
    </x:xf>
    <x:xf numFmtId="0" fontId="9" fillId="3" borderId="6" xfId="0" applyFont="1" applyFill="1" applyBorder="1" applyAlignment="1">
      <x:alignment horizontal="center" vertical="center"/>
    </x:xf>
    <x:xf numFmtId="0" fontId="9" fillId="3" borderId="7" xfId="0" applyFont="1" applyFill="1" applyBorder="1" applyAlignment="1">
      <x:alignment horizontal="center" vertical="center"/>
    </x:xf>
    <x:xf numFmtId="0" fontId="9" fillId="3" borderId="8" xfId="0" applyFont="1" applyFill="1" applyBorder="1" applyAlignment="1">
      <x:alignment horizontal="center" vertical="center"/>
    </x:xf>
    <x:xf numFmtId="0" fontId="5" fillId="5" borderId="2" xfId="0" applyFont="1" applyFill="1" applyBorder="1" applyAlignment="1">
      <x:alignment horizontal="center" vertical="center" wrapText="1"/>
    </x:xf>
    <x:xf numFmtId="0" fontId="5" fillId="5" borderId="2" xfId="0" applyFont="1" applyFill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 wrapText="1"/>
    </x:xf>
    <x:xf numFmtId="0" fontId="5" fillId="0" borderId="8" xfId="0" applyFont="1" applyBorder="1" applyAlignment="1">
      <x:alignment horizontal="center" vertical="center" wrapText="1"/>
    </x:xf>
    <x:xf numFmtId="0" fontId="5" fillId="5" borderId="3" xfId="0" applyFont="1" applyFill="1" applyBorder="1" applyAlignment="1">
      <x:alignment horizontal="center" vertical="center"/>
    </x:xf>
    <x:xf numFmtId="0" fontId="5" fillId="5" borderId="4" xfId="0" applyFont="1" applyFill="1" applyBorder="1" applyAlignment="1">
      <x:alignment horizontal="center" vertical="center"/>
    </x:xf>
    <x:xf numFmtId="0" fontId="5" fillId="5" borderId="5" xfId="0" applyFont="1" applyFill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8" xfId="0" applyFont="1" applyBorder="1" applyAlignment="1">
      <x:alignment horizontal="center" vertical="center"/>
    </x:xf>
    <x:xf numFmtId="49" fontId="4" fillId="0" borderId="6" xfId="0" applyNumberFormat="1" applyFont="1" applyBorder="1" applyAlignment="1">
      <x:alignment horizontal="left" vertical="center" wrapText="1"/>
    </x:xf>
    <x:xf numFmtId="49" fontId="4" fillId="0" borderId="7" xfId="0" applyNumberFormat="1" applyFont="1" applyBorder="1" applyAlignment="1">
      <x:alignment horizontal="left" vertical="center"/>
    </x:xf>
    <x:xf numFmtId="49" fontId="4" fillId="0" borderId="8" xfId="0" applyNumberFormat="1" applyFont="1" applyBorder="1" applyAlignment="1">
      <x:alignment horizontal="left" vertical="center"/>
    </x:xf>
    <x:xf numFmtId="0" fontId="5" fillId="5" borderId="3" xfId="0" applyFont="1" applyFill="1" applyBorder="1" applyAlignment="1">
      <x:alignment horizontal="center" vertical="center" wrapText="1"/>
    </x:xf>
    <x:xf numFmtId="0" fontId="5" fillId="5" borderId="5" xfId="0" applyFont="1" applyFill="1" applyBorder="1" applyAlignment="1">
      <x:alignment horizontal="center" vertical="center" wrapText="1"/>
    </x:xf>
    <x:xf numFmtId="0" fontId="8" fillId="0" borderId="0" xfId="0" applyFont="1" applyAlignment="1">
      <x:alignment horizontal="center" vertical="center"/>
    </x:xf>
    <x:xf numFmtId="0" fontId="9" fillId="3" borderId="9" xfId="0" applyFont="1" applyFill="1" applyBorder="1" applyAlignment="1">
      <x:alignment horizontal="center" vertical="center"/>
    </x:xf>
    <x:xf numFmtId="0" fontId="9" fillId="3" borderId="0" xfId="0" applyFont="1" applyFill="1" applyAlignment="1">
      <x:alignment horizontal="center" vertical="center"/>
    </x:xf>
    <x:xf numFmtId="0" fontId="5" fillId="4" borderId="2" xfId="0" applyFont="1" applyFill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5" fillId="5" borderId="2" xfId="0" applyFont="1" applyFill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2" xfId="0" applyFont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Alignment="1">
      <x:alignment horizontal="center" vertical="center"/>
    </x:xf>
    <x:xf numFmtId="0" fontId="0" fillId="0" borderId="2" xfId="0" applyBorder="1" applyAlignment="1">
      <x:alignment horizontal="center" vertical="center"/>
    </x:xf>
    <x:xf numFmtId="0" fontId="0" fillId="0" borderId="2" xfId="0" applyBorder="1" applyAlignment="1">
      <x:alignment horizontal="center" vertical="center" wrapText="1"/>
    </x:xf>
    <x:xf numFmtId="0" fontId="0" fillId="0" borderId="2" xfId="0" applyBorder="1" applyAlignment="1">
      <x:alignment horizontal="left" vertical="center" wrapText="1"/>
    </x:xf>
    <x:xf numFmtId="0" fontId="0" fillId="0" borderId="2" xfId="0" applyBorder="1" applyAlignment="1">
      <x:alignment horizontal="left" vertical="center"/>
    </x:xf>
    <x:xf numFmtId="0" fontId="17" fillId="3" borderId="2" xfId="0" applyFont="1" applyFill="1" applyBorder="1" applyAlignment="1">
      <x:alignment horizontal="center" vertical="center"/>
    </x:xf>
    <x:xf numFmtId="0" fontId="0" fillId="3" borderId="2" xfId="0" applyFill="1" applyBorder="1" applyAlignment="1">
      <x:alignment horizontal="center" vertical="center"/>
    </x:xf>
    <x:xf numFmtId="0" fontId="16" fillId="4" borderId="2" xfId="0" applyFont="1" applyFill="1" applyBorder="1" applyAlignment="1">
      <x:alignment horizontal="center" vertical="center"/>
    </x:xf>
    <x:xf numFmtId="0" fontId="0" fillId="0" borderId="3" xfId="0" applyBorder="1" applyAlignment="1">
      <x:alignment horizontal="center" vertical="center"/>
    </x:xf>
    <x:xf numFmtId="0" fontId="0" fillId="0" borderId="5" xfId="0" applyBorder="1" applyAlignment="1">
      <x:alignment horizontal="center" vertical="center"/>
    </x:xf>
    <x:xf numFmtId="0" fontId="16" fillId="4" borderId="3" xfId="0" applyFont="1" applyFill="1" applyBorder="1" applyAlignment="1">
      <x:alignment horizontal="center" vertical="center"/>
    </x:xf>
    <x:xf numFmtId="0" fontId="0" fillId="4" borderId="5" xfId="0" applyFill="1" applyBorder="1" applyAlignment="1">
      <x:alignment horizontal="center" vertical="center"/>
    </x:xf>
    <x:xf numFmtId="0" fontId="27" fillId="0" borderId="2" xfId="0" applyFont="1" applyBorder="1" applyAlignment="1">
      <x:alignment horizontal="left"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horizontal="left" vertical="center" wrapText="1"/>
    </x:xf>
    <x:xf numFmtId="0" fontId="6" fillId="0" borderId="2" xfId="0" applyNumberFormat="1" applyFont="1" applyFill="1" applyBorder="1" applyAlignment="1">
      <x:alignment horizontal="left" vertical="center" wrapText="1"/>
    </x:xf>
    <x:xf numFmtId="0" fontId="16" fillId="4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center"/>
    </x:xf>
    <x:xf numFmtId="0" fontId="30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vertical="center"/>
    </x:xf>
    <x:xf numFmtId="0" fontId="16" fillId="8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16" fillId="8" borderId="0" xfId="0" applyNumberFormat="1" applyFont="1" applyFill="1" applyBorder="1" applyAlignment="1">
      <x:alignment vertical="center" wrapText="1"/>
    </x:xf>
    <x:xf numFmtId="0" fontId="27" fillId="0" borderId="2" xfId="0" applyNumberFormat="1" applyFont="1" applyFill="1" applyBorder="1" applyAlignment="1">
      <x:alignment horizontal="left" vertical="center" wrapText="1"/>
    </x:xf>
    <x:xf numFmtId="0" fontId="4" fillId="0" borderId="2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2" xfId="0" applyNumberFormat="1" applyFont="1" applyFill="1" applyBorder="1" applyAlignment="1">
      <x:alignment horizontal="left" vertical="center" wrapText="1"/>
    </x:xf>
    <x:xf numFmtId="0" fontId="4" fillId="9" borderId="2" xfId="0" applyNumberFormat="1" applyFont="1" applyFill="1" applyBorder="1" applyAlignment="1">
      <x:alignment vertical="center" wrapText="1"/>
    </x:xf>
    <x:xf numFmtId="0" fontId="4" fillId="9" borderId="2" xfId="0" applyNumberFormat="1" applyFont="1" applyFill="1" applyBorder="1" applyAlignment="1">
      <x:alignment horizontal="left" vertical="center" wrapText="1"/>
    </x:xf>
    <x:xf numFmtId="0" fontId="6" fillId="9" borderId="2" xfId="0" applyNumberFormat="1" applyFont="1" applyFill="1" applyBorder="1" applyAlignment="1">
      <x:alignment horizontal="left" vertical="center" wrapText="1"/>
    </x:xf>
    <x:xf numFmtId="0" fontId="10" fillId="0" borderId="2" xfId="0" applyFont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17" fillId="3" borderId="2" xfId="0" applyNumberFormat="1" applyFont="1" applyFill="1" applyBorder="1" applyAlignment="1">
      <x:alignment horizontal="center" vertical="center" wrapText="1"/>
    </x:xf>
    <x:xf numFmtId="0" fontId="0" fillId="3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0" fontId="16" fillId="4" borderId="3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4" borderId="5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left" vertic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5" fillId="0" borderId="6" xfId="0" applyNumberFormat="1" applyFont="1" applyFill="1" applyBorder="1" applyAlignment="1">
      <x:alignment horizontal="center" vertical="center" wrapText="1"/>
    </x:xf>
    <x:xf numFmtId="0" fontId="5" fillId="0" borderId="7" xfId="0" applyNumberFormat="1" applyFont="1" applyFill="1" applyBorder="1" applyAlignment="1">
      <x:alignment horizontal="center" vertical="center" wrapText="1"/>
    </x:xf>
    <x:xf numFmtId="0" fontId="5" fillId="0" borderId="8" xfId="0" applyNumberFormat="1" applyFont="1" applyFill="1" applyBorder="1" applyAlignment="1">
      <x:alignment horizontal="center" vertical="center" wrapText="1"/>
    </x:xf>
    <x:xf numFmtId="0" fontId="31" fillId="0" borderId="0" xfId="0" applyNumberFormat="1" applyFont="1" applyFill="1" applyBorder="1" applyAlignment="1">
      <x:alignment vertical="center"/>
    </x:xf>
    <x:xf numFmtId="0" fontId="31" fillId="0" borderId="0" xfId="0" applyNumberFormat="1" applyFont="1" applyFill="1" applyBorder="1" applyAlignment="1">
      <x:alignment vertical="center" wrapText="1"/>
    </x:xf>
    <x:xf numFmtId="0" fontId="31" fillId="10" borderId="0" xfId="0" applyNumberFormat="1" applyFont="1" applyFill="1" applyBorder="1" applyAlignment="1">
      <x:alignment vertical="center" wrapText="1"/>
    </x:xf>
  </x:cellXfs>
  <x:cellStyles count="2">
    <x:cellStyle name="메모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de0ec9f5c34007" /><Relationship Type="http://schemas.openxmlformats.org/officeDocument/2006/relationships/theme" Target="/xl/theme/theme1.xml" Id="R3c88e25a6820445e" /><Relationship Type="http://schemas.openxmlformats.org/officeDocument/2006/relationships/sheetMetadata" Target="/xl/metadata1.xml" Id="R1e455a33ffc44531" /><Relationship Type="http://schemas.microsoft.com/office/2017/06/relationships/rdRichValueStructure" Target="/xl/richData/rdrichvaluestructure.xml" Id="R18c4a717f2114fff" /><Relationship Type="http://schemas.microsoft.com/office/2017/06/relationships/rdRichValue" Target="/xl/richData/rdrichvalue.xml" Id="Rc479d02dce5e40f7" /><Relationship Type="http://schemas.microsoft.com/office/2017/06/relationships/rdRichValueTypes" Target="/xl/richData/rdRichValueTypes.xml" Id="R093f61029eb84208" /><Relationship Type="http://schemas.microsoft.com/office/2022/11/relationships/FeaturePropertyBag" Target="/xl/featurePropertyBag/featurePropertyBag.xml" Id="R2d3d653ccee24f5d" /><Relationship Type="http://schemas.openxmlformats.org/officeDocument/2006/relationships/sharedStrings" Target="/xl/sharedStrings.xml" Id="R627fae048c924a74" /><Relationship Type="http://schemas.openxmlformats.org/officeDocument/2006/relationships/worksheet" Target="/xl/worksheets/sheet1.xml" Id="Rd15ced7f13cf40c6" /><Relationship Type="http://schemas.openxmlformats.org/officeDocument/2006/relationships/worksheet" Target="/xl/worksheets/sheet2.xml" Id="R77ea65d942104ef3" /><Relationship Type="http://schemas.openxmlformats.org/officeDocument/2006/relationships/worksheet" Target="/xl/worksheets/sheet3.xml" Id="R04da621502af49cc" /><Relationship Type="http://schemas.openxmlformats.org/officeDocument/2006/relationships/worksheet" Target="/xl/worksheets/sheet4.xml" Id="R5e958dbed9d8437a" /><Relationship Type="http://schemas.openxmlformats.org/officeDocument/2006/relationships/worksheet" Target="/xl/worksheets/sheet5.xml" Id="Rfdd51d610bdc4b3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5b001cc36de4c14" /></Relationships>
</file>

<file path=xl/drawings/drawing1.xml><?xml version="1.0" encoding="utf-8"?>
<xdr:wsDr xmlns:xdr="http://schemas.openxmlformats.org/drawingml/2006/spreadsheetDrawing">
  <xdr:twoCellAnchor editAs="oneCell">
    <xdr:from>
      <xdr:col>3</xdr:col>
      <xdr:colOff>142257</xdr:colOff>
      <xdr:row>5</xdr:row>
      <xdr:rowOff>847723</xdr:rowOff>
    </xdr:from>
    <xdr:to>
      <xdr:col>3</xdr:col>
      <xdr:colOff>4843457</xdr:colOff>
      <xdr:row>5</xdr:row>
      <xdr:rowOff>2487133</xdr:rowOff>
    </xdr:to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b001cc36de4c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richData/rdRichValueTypes.xml><?xml version="1.0" encoding="utf-8"?>
<xlrd2:rvTypesInfo xmlns:xlrd2="http://schemas.microsoft.com/office/spreadsheetml/2017/richdata2">
  <xlrd2:global>
    <xlrd2:keyFlags>
      <xlrd2:key name="_Self">
        <xlrd2:flag name="ExcludeFromFile" value="1"/>
        <xlrd2:flag name="ExcludeFromCalcComparison" value="1"/>
      </xlrd2:key>
      <xlrd2:key name="_DisplayString">
        <xlrd2:flag name="ExcludeFromCalcComparison" value="1"/>
      </xlrd2:key>
      <xlrd2:key name="_Flags">
        <xlrd2:flag name="ExcludeFromCalcComparison" value="1"/>
      </xlrd2:key>
      <xlrd2:key name="_Format">
        <xlrd2:flag name="ExcludeFromCalcComparison" value="1"/>
      </xlrd2:key>
      <xlrd2:key name="_SubLabel">
        <xlrd2:flag name="ExcludeFromCalcComparison" value="1"/>
      </xlrd2:key>
      <xlrd2:key name="_Attribution">
        <xlrd2:flag name="ExcludeFromCalcComparison" value="1"/>
      </xlrd2:key>
      <xlrd2:key name="_Icon">
        <xlrd2:flag name="ExcludeFromCalcComparison" value="1"/>
      </xlrd2:key>
      <xlrd2:key name="_Display">
        <xlrd2:flag name="ExcludeFromCalcComparison" value="1"/>
      </xlrd2:key>
      <xlrd2:key name="_CanonicalPropertyNames">
        <xlrd2:flag name="ExcludeFromCalcComparison" value="1"/>
      </xlrd2:key>
      <xlrd2:key name="_ClassificationId">
        <xlrd2:flag name="ExcludeFromCalcComparison" value="1"/>
      </xlrd2:key>
    </xlrd2:keyFlags>
  </xlrd2:global>
</xlrd2:rvTypesInfo>
</file>

<file path=xl/richData/rdrichvalue.xml><?xml version="1.0" encoding="utf-8"?>
<xlrd:rvData xmlns:xlrd="http://schemas.microsoft.com/office/spreadsheetml/2017/richdata" count="2">
  <xlrd:rv s="0">
    <xlrd:v>0</xlrd:v>
    <xlrd:v>5</xlrd:v>
  </xlrd:rv>
  <xlrd:rv s="0">
    <xlrd:v>1</xlrd:v>
    <xlrd:v>5</xlrd:v>
  </xlrd:rv>
</xlrd:rvData>
</file>

<file path=xl/richData/rdrichvaluestructure.xml><?xml version="1.0" encoding="utf-8"?>
<xlrd:rvStructures xmlns:xlrd="http://schemas.microsoft.com/office/spreadsheetml/2017/richdata" count="1">
  <xlrd:s t="_localImage">
    <xlrd:k n="_rvRel:LocalImageIdentifier" t="i"/>
    <xlrd:k n="CalcOrigin" t="i"/>
  </xlrd:s>
</xlrd:rvStructure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d50acc7eca84ef1" /></Relationships>
</file>

<file path=xl/worksheets/sheet1.xml><?xml version="1.0" encoding="utf-8"?>
<x:worksheet xmlns:x="http://schemas.openxmlformats.org/spreadsheetml/2006/main">
  <x:sheetFormatPr baseColWidth="10" defaultColWidth="8.83203125" defaultRowHeight="17"/>
  <x:cols>
    <x:col min="1" max="1" width="15.5" style="8" customWidth="1"/>
    <x:col min="2" max="2" width="26.5" style="8" customWidth="1"/>
    <x:col min="3" max="3" width="62.5" style="8" customWidth="1"/>
    <x:col min="4" max="4" width="65" style="8" customWidth="1"/>
    <x:col min="5" max="5" width="8.83203125" customWidth="1"/>
    <x:col min="6" max="6" width="8.83203125" style="20" customWidth="1"/>
  </x:cols>
  <x:sheetData>
    <x:row r="1" ht="20">
      <x:c r="A1" s="50" t="s">
        <x:v>0</x:v>
      </x:c>
      <x:c r="B1" s="51"/>
      <x:c r="C1" s="51"/>
      <x:c r="D1" s="52"/>
    </x:row>
    <x:row r="2">
      <x:c r="A2" s="1" t="s">
        <x:v>1</x:v>
      </x:c>
      <x:c r="B2" s="1" t="s">
        <x:v>2</x:v>
      </x:c>
      <x:c r="C2" s="2" t="s">
        <x:v>3</x:v>
      </x:c>
      <x:c r="D2" s="1" t="s">
        <x:v>4</x:v>
      </x:c>
    </x:row>
    <x:row r="3" ht="44.25" customHeight="1">
      <x:c r="A3" s="57" t="s">
        <x:v>5</x:v>
      </x:c>
      <x:c r="B3" s="55" t="s">
        <x:v>6</x:v>
      </x:c>
      <x:c r="C3" s="56"/>
      <x:c r="D3" s="46" t="str" vm="1"/>
    </x:row>
    <x:row r="4" ht="51" customHeight="1">
      <x:c r="A4" s="58"/>
      <x:c r="B4" s="4" t="s">
        <x:v>7</x:v>
      </x:c>
      <x:c r="C4" s="6" t="s">
        <x:v>8</x:v>
      </x:c>
      <x:c r="D4" s="9"/>
    </x:row>
    <x:row r="5" ht="78" customHeight="1">
      <x:c r="A5" s="58"/>
      <x:c r="B5" s="10" t="s">
        <x:v>9</x:v>
      </x:c>
      <x:c r="C5" s="6" t="s">
        <x:v>10</x:v>
      </x:c>
      <x:c r="D5" s="9"/>
    </x:row>
    <x:row r="6" ht="335">
      <x:c r="A6" s="58"/>
      <x:c r="B6" s="4" t="s">
        <x:v>11</x:v>
      </x:c>
      <x:c r="C6" s="6" t="s">
        <x:v>12</x:v>
      </x:c>
      <x:c r="D6" s="4"/>
      <x:c r="F6" s="21"/>
    </x:row>
    <x:row r="7" ht="182.5" customHeight="1">
      <x:c r="A7" s="59"/>
      <x:c r="B7" s="9" t="s">
        <x:v>13</x:v>
      </x:c>
      <x:c r="C7" s="45" t="s">
        <x:v>14</x:v>
      </x:c>
      <x:c r="D7" s="11" t="str" vm="2"/>
      <x:c r="F7" s="21"/>
    </x:row>
    <x:row r="8" ht="112">
      <x:c r="A8" s="53" t="s">
        <x:v>15</x:v>
      </x:c>
      <x:c r="B8" s="4" t="s">
        <x:v>16</x:v>
      </x:c>
      <x:c r="C8" s="7" t="s">
        <x:v>17</x:v>
      </x:c>
      <x:c r="D8" s="4"/>
    </x:row>
    <x:row r="9" ht="61.5" customHeight="1">
      <x:c r="A9" s="54"/>
      <x:c r="B9" s="4" t="s">
        <x:v>18</x:v>
      </x:c>
      <x:c r="C9" s="6" t="s">
        <x:v>19</x:v>
      </x:c>
      <x:c r="D9" s="4"/>
    </x:row>
    <x:row r="10" ht="112">
      <x:c r="A10" s="54"/>
      <x:c r="B10" s="4" t="s">
        <x:v>20</x:v>
      </x:c>
      <x:c r="C10" s="47" t="s">
        <x:v>21</x:v>
      </x:c>
      <x:c r="D10" s="4"/>
    </x:row>
    <x:row r="11" ht="288">
      <x:c r="A11" s="54"/>
      <x:c r="B11" s="4" t="s">
        <x:v>22</x:v>
      </x:c>
      <x:c r="C11" s="41" t="s">
        <x:v>23</x:v>
      </x:c>
      <x:c r="D11" s="4"/>
    </x:row>
    <x:row r="16">
      <x:c r="B16"/>
    </x:row>
  </x:sheetData>
  <x:mergeCells>
    <x:mergeCell ref="A1:D1"/>
    <x:mergeCell ref="A8:A11"/>
    <x:mergeCell ref="B3:C3"/>
    <x:mergeCell ref="A3:A7"/>
  </x:mergeCells>
  <x:pageMargins left="0.7" right="0.7" top="0.75" bottom="0.75" header="0.3" footer="0.3"/>
  <x:drawing xmlns:r="http://schemas.openxmlformats.org/officeDocument/2006/relationships" r:id="Rcd50acc7eca84ef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7"/>
  <x:cols>
    <x:col min="1" max="1" width="17.5" style="13" customWidth="1"/>
    <x:col min="2" max="2" width="4.5" style="13" customWidth="1"/>
    <x:col min="3" max="3" width="6.33203125" style="13" customWidth="1"/>
    <x:col min="4" max="4" width="26.5" style="13" customWidth="1"/>
    <x:col min="5" max="5" width="71.33203125" style="13" customWidth="1"/>
    <x:col min="6" max="6" width="10" style="13" customWidth="1"/>
    <x:col min="7" max="7" width="88" style="32" hidden="0" customWidth="1"/>
    <x:col min="8" max="8" width="12" hidden="0" customWidth="1"/>
    <x:col min="9" max="9" width="107.33203125" style="22" customWidth="1"/>
    <x:col min="10" max="10" width="13" style="24" customWidth="1"/>
    <x:col min="11" max="11" width="39.5" customWidth="1"/>
  </x:cols>
  <x:sheetData>
    <x:row r="1" ht="20">
      <x:c r="A1" s="50" t="str">
        <x:v>열교환기 AAS 정량적 검토 체크리스트</x:v>
      </x:c>
      <x:c r="B1" s="51"/>
      <x:c r="C1" s="51"/>
      <x:c r="D1" s="51"/>
      <x:c r="E1" s="51"/>
      <x:c r="F1" s="51"/>
      <x:c r="G1" s="52"/>
      <x:c r="I1" s="29"/>
      <x:c r="K1" s="24"/>
    </x:row>
    <x:row r="2">
      <x:c r="A2" s="1" t="s">
        <x:v>1</x:v>
      </x:c>
      <x:c r="B2" s="1" t="s">
        <x:v>24</x:v>
      </x:c>
      <x:c r="C2" s="1" t="s">
        <x:v>25</x:v>
      </x:c>
      <x:c r="D2" s="1" t="s">
        <x:v>26</x:v>
      </x:c>
      <x:c r="E2" s="2" t="s">
        <x:v>3</x:v>
      </x:c>
      <x:c r="F2" s="2" t="s">
        <x:v>27</x:v>
      </x:c>
      <x:c r="G2" s="89" t="s">
        <x:v>28</x:v>
      </x:c>
      <x:c r="H2" t="str">
        <x:v>충족 집계</x:v>
      </x:c>
      <x:c r="K2" s="25"/>
    </x:row>
    <x:row r="3" ht="90" hidden="0" customHeight="1">
      <x:c r="A3" s="116" t="s">
        <x:v>29</x:v>
      </x:c>
      <x:c r="B3" s="117">
        <x:v>1</x:v>
      </x:c>
      <x:c r="C3" s="117" t="s">
        <x:v>30</x:v>
      </x:c>
      <x:c r="D3" s="117" t="s">
        <x:v>31</x:v>
      </x:c>
      <x:c r="E3" s="101" t="s">
        <x:v>32</x:v>
      </x:c>
      <x:c r="F3" s="102" t="b">
        <x:v>1</x:v>
      </x:c>
      <x:c r="G3" s="104" t="str">
        <x:v>패키지 defaultThumbnail 및 thumbnail relationship이 내부 이미지 경로에 연결됨. ZIP/관계 대상 누락 없음. KTL D-01 반영.</x:v>
      </x:c>
      <x:c r="H3">
        <x:f>IF(F3,1,0)</x:f>
        <x:v>1</x:v>
      </x:c>
      <x:c r="K3" s="25"/>
    </x:row>
    <x:row r="4" ht="90" hidden="0" customHeight="1">
      <x:c r="A4" s="118" t="s">
        <x:v>33</x:v>
      </x:c>
      <x:c r="B4" s="119">
        <x:v>2</x:v>
      </x:c>
      <x:c r="C4" s="119" t="s">
        <x:v>30</x:v>
      </x:c>
      <x:c r="D4" s="119" t="s">
        <x:v>16</x:v>
      </x:c>
      <x:c r="E4" s="103" t="s">
        <x:v>34</x:v>
      </x:c>
      <x:c r="F4" s="102" t="b">
        <x:v>1</x:v>
      </x:c>
      <x:c r="G4" s="104" t="str">
        <x:v>필수 idShort 존재. SML 직속 항목은 목록 규칙에 따라 idShort를 비워 두며 일반 요소 누락과 구분.</x:v>
      </x:c>
      <x:c r="H4">
        <x:f>IF(F4,1,0)</x:f>
        <x:v>1</x:v>
      </x:c>
      <x:c r="K4" s="25"/>
    </x:row>
    <x:row r="5" ht="90" hidden="0" customHeight="1">
      <x:c r="A5" s="120"/>
      <x:c r="B5" s="119">
        <x:v>3</x:v>
      </x:c>
      <x:c r="C5" s="119" t="s">
        <x:v>30</x:v>
      </x:c>
      <x:c r="D5" s="119" t="s">
        <x:v>35</x:v>
      </x:c>
      <x:c r="E5" s="103" t="s">
        <x:v>36</x:v>
      </x:c>
      <x:c r="F5" s="102" t="b">
        <x:v>1</x:v>
      </x:c>
      <x:c r="G5" s="104" t="str">
        <x:v>명명규칙 검사 Passed. 동일 부모 idShort 중복 없음. 장비 식별명 PlateHeatExchanger 사용.</x:v>
      </x:c>
      <x:c r="H5">
        <x:f>IF(F5,1,0)</x:f>
        <x:v>1</x:v>
      </x:c>
      <x:c r="K5" s="25"/>
    </x:row>
    <x:row r="6" ht="90" hidden="0" customHeight="1">
      <x:c r="A6" s="118" t="s">
        <x:v>37</x:v>
      </x:c>
      <x:c r="B6" s="117">
        <x:v>4</x:v>
      </x:c>
      <x:c r="C6" s="117" t="s">
        <x:v>30</x:v>
      </x:c>
      <x:c r="D6" s="117" t="s">
        <x:v>18</x:v>
      </x:c>
      <x:c r="E6" s="91" t="s">
        <x:v>38</x:v>
      </x:c>
      <x:c r="F6" s="102" t="b">
        <x:v>1</x:v>
      </x:c>
      <x:c r="G6" s="105" t="str">
        <x:v>AAS 식별자·administration 확인. 기준 파일 PlateHeatExchanger_AAS_v0.0.1.aasx. Validator Testing file 일치.</x:v>
      </x:c>
      <x:c r="H6">
        <x:f>IF(F6,1,0)</x:f>
        <x:v>1</x:v>
      </x:c>
      <x:c r="K6" s="25"/>
    </x:row>
    <x:row r="7" ht="90" hidden="0" customHeight="1">
      <x:c r="A7" s="121"/>
      <x:c r="B7" s="117">
        <x:v>5</x:v>
      </x:c>
      <x:c r="C7" s="117" t="s">
        <x:v>30</x:v>
      </x:c>
      <x:c r="D7" s="117" t="s">
        <x:v>39</x:v>
      </x:c>
      <x:c r="E7" s="91" t="s">
        <x:v>40</x:v>
      </x:c>
      <x:c r="F7" s="102" t="b">
        <x:v>1</x:v>
      </x:c>
      <x:c r="G7" s="106" t="str">
        <x:v>서브모델 6개: Nameplate, HandoverDocumentation, TechnicalData, OperationalData, Reliability, ProcessParameters. 필수 4종 포함.</x:v>
      </x:c>
      <x:c r="H7">
        <x:f>IF(F7,1,0)</x:f>
        <x:v>1</x:v>
      </x:c>
      <x:c r="K7" s="25"/>
    </x:row>
    <x:row r="8" ht="90" hidden="0" customHeight="1">
      <x:c r="A8" s="121"/>
      <x:c r="B8" s="117">
        <x:v>6</x:v>
      </x:c>
      <x:c r="C8" s="117" t="s">
        <x:v>41</x:v>
      </x:c>
      <x:c r="D8" s="117" t="s">
        <x:v>42</x:v>
      </x:c>
      <x:c r="E8" s="91" t="s">
        <x:v>43</x:v>
      </x:c>
      <x:c r="F8" s="102" t="b">
        <x:v>1</x:v>
      </x:c>
      <x:c r="G8" s="106" t="str">
        <x:v>globalAssetId 설정 및 PlateHeatExchanger 장비 식별 경로 확인. KOSMO-AAS #5 Passed.</x:v>
      </x:c>
      <x:c r="H8">
        <x:f>IF(F8,1,0)</x:f>
        <x:v>1</x:v>
      </x:c>
      <x:c r="K8" s="25"/>
    </x:row>
    <x:row r="9" ht="90" hidden="0" customHeight="1">
      <x:c r="A9" s="120"/>
      <x:c r="B9" s="117">
        <x:v>7</x:v>
      </x:c>
      <x:c r="C9" s="117" t="s">
        <x:v>30</x:v>
      </x:c>
      <x:c r="D9" s="117" t="s">
        <x:v>44</x:v>
      </x:c>
      <x:c r="E9" s="91" t="s">
        <x:v>45</x:v>
      </x:c>
      <x:c r="F9" s="102" t="b">
        <x:v>1</x:v>
      </x:c>
      <x:c r="G9" s="106" t="str">
        <x:v>assetKind=Type 확인. KOSMO-AAS #6 Passed.</x:v>
      </x:c>
      <x:c r="H9">
        <x:f>IF(F9,1,0)</x:f>
        <x:v>1</x:v>
      </x:c>
      <x:c r="K9" s="25"/>
    </x:row>
    <x:row r="10" ht="90" hidden="0" customHeight="1">
      <x:c r="A10" s="118" t="s">
        <x:v>46</x:v>
      </x:c>
      <x:c r="B10" s="119">
        <x:v>8</x:v>
      </x:c>
      <x:c r="C10" s="119" t="s">
        <x:v>30</x:v>
      </x:c>
      <x:c r="D10" s="119" t="s">
        <x:v>47</x:v>
      </x:c>
      <x:c r="E10" s="103" t="s">
        <x:v>48</x:v>
      </x:c>
      <x:c r="F10" s="102" t="b">
        <x:v>1</x:v>
      </x:c>
      <x:c r="G10" s="106" t="str">
        <x:v>제출 당시 지정 references 원본을 기준으로 판정. Nameplate 3.0.1, Handover 2.0.1, TechnicalData 2.0.1, Reliability 1.0.1, ProcessParameters 1.0의 적용 버전을 문서에 명시.</x:v>
      </x:c>
      <x:c r="H10">
        <x:f>IF(F10,1,0)</x:f>
        <x:v>1</x:v>
      </x:c>
      <x:c r="K10" s="25"/>
    </x:row>
    <x:row r="11" ht="90" hidden="0" customHeight="1">
      <x:c r="A11" s="121"/>
      <x:c r="B11" s="117">
        <x:v>9</x:v>
      </x:c>
      <x:c r="C11" s="117" t="s">
        <x:v>30</x:v>
      </x:c>
      <x:c r="D11" s="117" t="s">
        <x:v>18</x:v>
      </x:c>
      <x:c r="E11" s="91" t="s">
        <x:v>38</x:v>
      </x:c>
      <x:c r="F11" s="102" t="b">
        <x:v>1</x:v>
      </x:c>
      <x:c r="G11" s="106" t="str">
        <x:v>6개 Submodel 식별자 중복 없음. 장비별 경로와 administration 대조. KOSMO-Submodel #2 Passed.</x:v>
      </x:c>
      <x:c r="H11">
        <x:f>IF(F11,1,0)</x:f>
        <x:v>1</x:v>
      </x:c>
      <x:c r="K11" s="27"/>
    </x:row>
    <x:row r="12" ht="90" hidden="0" customHeight="1">
      <x:c r="A12" s="121"/>
      <x:c r="B12" s="117">
        <x:v>10</x:v>
      </x:c>
      <x:c r="C12" s="117" t="s">
        <x:v>30</x:v>
      </x:c>
      <x:c r="D12" s="117" t="s">
        <x:v>49</x:v>
      </x:c>
      <x:c r="E12" s="91" t="s">
        <x:v>50</x:v>
      </x:c>
      <x:c r="F12" s="102" t="b">
        <x:v>1</x:v>
      </x:c>
      <x:c r="G12" s="106" t="str">
        <x:v>표준 5종은 공식 semanticId 유지. OperationalData는 PlateHeatExchangerAAS 고유 의미 식별자. 개별 Submodel id와 semanticId를 구분.</x:v>
      </x:c>
      <x:c r="H12">
        <x:f>IF(F12,1,0)</x:f>
        <x:v>1</x:v>
      </x:c>
      <x:c r="I12" s="23"/>
      <x:c r="J12" s="28"/>
      <x:c r="K12" s="25"/>
    </x:row>
    <x:row r="13" ht="90" hidden="0" customHeight="1">
      <x:c r="A13" s="121"/>
      <x:c r="B13" s="117">
        <x:v>11</x:v>
      </x:c>
      <x:c r="C13" s="117" t="s">
        <x:v>30</x:v>
      </x:c>
      <x:c r="D13" s="117" t="s">
        <x:v>51</x:v>
      </x:c>
      <x:c r="E13" s="91" t="s">
        <x:v>52</x:v>
      </x:c>
      <x:c r="F13" s="102" t="b">
        <x:v>1</x:v>
      </x:c>
      <x:c r="G13" s="105" t="str">
        <x:v>6개 Submodel 모두 kind=Template 확인.</x:v>
      </x:c>
      <x:c r="H13">
        <x:f>IF(F13,1,0)</x:f>
        <x:v>1</x:v>
      </x:c>
      <x:c r="K13" s="25"/>
    </x:row>
    <x:row r="14" ht="155" hidden="0" customHeight="1">
      <x:c r="A14" s="120"/>
      <x:c r="B14" s="119">
        <x:v>12</x:v>
      </x:c>
      <x:c r="C14" s="119" t="s">
        <x:v>41</x:v>
      </x:c>
      <x:c r="D14" s="119" t="s">
        <x:v>53</x:v>
      </x:c>
      <x:c r="E14" s="103" t="s">
        <x:v>54</x:v>
      </x:c>
      <x:c r="F14" s="102" t="b">
        <x:v>1</x:v>
      </x:c>
      <x:c r="G14" s="105" t="str">
        <x:v>TechnicalData의 표준 확장 위치 안에 구조·열성능·온도·압력·재질·전기 사양을 기능별 계층화. OperationalData는 현재 열성능·유체·압력·상태를 목적별로 구분.</x:v>
      </x:c>
      <x:c r="H14">
        <x:f>IF(F14,1,0)</x:f>
        <x:v>1</x:v>
      </x:c>
      <x:c r="K14" s="25"/>
    </x:row>
    <x:row r="15" ht="90" hidden="0" customHeight="1">
      <x:c r="A15" s="118" t="s">
        <x:v>55</x:v>
      </x:c>
      <x:c r="B15" s="119">
        <x:v>13</x:v>
      </x:c>
      <x:c r="C15" s="119" t="s">
        <x:v>41</x:v>
      </x:c>
      <x:c r="D15" s="119" t="s">
        <x:v>56</x:v>
      </x:c>
      <x:c r="E15" s="103" t="s">
        <x:v>57</x:v>
      </x:c>
      <x:c r="F15" s="102" t="b">
        <x:v>1</x:v>
      </x:c>
      <x:c r="G15" s="105" t="str">
        <x:v>Operation·BasicEventElement·Capability 미사용. KOSMO-SME #2 Passed.</x:v>
      </x:c>
      <x:c r="H15">
        <x:f>IF(F15,1,0)</x:f>
        <x:v>1</x:v>
      </x:c>
      <x:c r="K15" s="25"/>
    </x:row>
    <x:row r="16" ht="90" hidden="0" customHeight="1">
      <x:c r="A16" s="120"/>
      <x:c r="B16" s="117">
        <x:v>14</x:v>
      </x:c>
      <x:c r="C16" s="117" t="s">
        <x:v>30</x:v>
      </x:c>
      <x:c r="D16" s="117" t="s">
        <x:v>58</x:v>
      </x:c>
      <x:c r="E16" s="91" t="s">
        <x:v>59</x:v>
      </x:c>
      <x:c r="F16" s="102" t="b">
        <x:v>1</x:v>
      </x:c>
      <x:c r="G16" s="105" t="str">
        <x:v>SME 273개 semanticId의 CD 연결 누락 0개. CD 총 267개. KOSMO-SME #3 Passed. KOSMO-CD #2는 미매핑 문제가 아니며 #17의 공식 IRI/규칙 충돌 근거와 구분.</x:v>
      </x:c>
      <x:c r="H16">
        <x:f>IF(F16,1,0)</x:f>
        <x:v>1</x:v>
      </x:c>
      <x:c r="K16" s="25"/>
    </x:row>
    <x:row r="17" ht="90" hidden="0" customHeight="1">
      <x:c r="A17" s="118" t="s">
        <x:v>60</x:v>
      </x:c>
      <x:c r="B17" s="119">
        <x:v>15</x:v>
      </x:c>
      <x:c r="C17" s="119" t="s">
        <x:v>30</x:v>
      </x:c>
      <x:c r="D17" s="119" t="s">
        <x:v>61</x:v>
      </x:c>
      <x:c r="E17" s="103" t="s">
        <x:v>62</x:v>
      </x:c>
      <x:c r="F17" s="102" t="b">
        <x:v>1</x:v>
      </x:c>
      <x:c r="G17" s="104" t="str">
        <x:v>Property/MLP 예시값 존재. 신뢰성 및 전력 예시의 단위·범위를 보완하여 정성 #17 충족. 선택 ReferenceElement/PreviewFile 미적용 사유 유지.</x:v>
      </x:c>
      <x:c r="H17">
        <x:f>IF(F17,1,0)</x:f>
        <x:v>1</x:v>
      </x:c>
      <x:c r="K17" s="25"/>
    </x:row>
    <x:row r="18" ht="90" hidden="0" customHeight="1">
      <x:c r="A18" s="120"/>
      <x:c r="B18" s="117">
        <x:v>16</x:v>
      </x:c>
      <x:c r="C18" s="117" t="s">
        <x:v>30</x:v>
      </x:c>
      <x:c r="D18" s="117" t="s">
        <x:v>63</x:v>
      </x:c>
      <x:c r="E18" s="91" t="s">
        <x:v>64</x:v>
      </x:c>
      <x:c r="F18" s="102" t="b">
        <x:v>1</x:v>
      </x:c>
      <x:c r="G18" s="104" t="str">
        <x:v>변경된 MTTF/MTBF는 xs:int와 공식 CD 단위 y 유지. 추가 표준 8개는 자료형·단위를 제공 ECLASS 원본과 대조. 숫자형–STRING 불일치 없음.</x:v>
      </x:c>
      <x:c r="H18">
        <x:f>IF(F18,1,0)</x:f>
        <x:v>1</x:v>
      </x:c>
      <x:c r="K18" s="25"/>
    </x:row>
    <x:row r="19" ht="160" hidden="0" customHeight="1">
      <x:c r="A19" s="118" t="s">
        <x:v>65</x:v>
      </x:c>
      <x:c r="B19" s="117">
        <x:v>17</x:v>
      </x:c>
      <x:c r="C19" s="117" t="s">
        <x:v>30</x:v>
      </x:c>
      <x:c r="D19" s="117" t="s">
        <x:v>18</x:v>
      </x:c>
      <x:c r="E19" s="91" t="s">
        <x:v>66</x:v>
      </x:c>
      <x:c r="F19" s="102" t="b">
        <x:v>1</x:v>
      </x:c>
      <x:c r="G19" s="105" t="str">
        <x:v>충족(식별자 예외 및 규칙 충돌 구분). PlateHeatExchanger_20261009194744_test_result.html: 최종 제출 파일명 PlateHeatExchanger_AAS_v0.0.1.aasx에 대해 69 Passed·1 Failed(KOSMO-CD #2). Reliability·AddressInformation 2건은 공식 IDTA IRI를 자체 /ids/cd/ 형식으로 강제한 오판이므로 원본 유지. OperationalData 1건은 자체 /ids/sm/ 경로를 CD의 /ids/cd/ 규칙과 비교한 충돌이며 공식 IRI 오판과 구분한다. 기존 수동 대조에 따른 예외 판정을 유지하고 전체 Passed로 표시하지 않는다. 검사 제외 표준 SM 5종은 원본 수동 대조 근거를 유지한다.</x:v>
      </x:c>
      <x:c r="H19">
        <x:f>IF(F19,1,0)</x:f>
        <x:v>1</x:v>
      </x:c>
      <x:c r="K19" s="25"/>
    </x:row>
    <x:row r="20" ht="90" hidden="0" customHeight="1">
      <x:c r="A20" s="121"/>
      <x:c r="B20" s="117">
        <x:v>18</x:v>
      </x:c>
      <x:c r="C20" s="117" t="s">
        <x:v>30</x:v>
      </x:c>
      <x:c r="D20" s="117" t="s">
        <x:v>67</x:v>
      </x:c>
      <x:c r="E20" s="91" t="s">
        <x:v>68</x:v>
      </x:c>
      <x:c r="F20" s="102" t="b">
        <x:v>1</x:v>
      </x:c>
      <x:c r="G20" s="105" t="str">
        <x:v>CD 정의/설명 존재와 KOSMO-CD #3 Passed 확인. 표준 원본 CD는 변경하지 않고, 자체 정의와 공식 정의의 출처를 구분.</x:v>
      </x:c>
      <x:c r="H20">
        <x:f>IF(F20,1,0)</x:f>
        <x:v>1</x:v>
      </x:c>
      <x:c r="I20" s="23"/>
      <x:c r="K20" s="25"/>
    </x:row>
    <x:row r="21" ht="90" hidden="0" customHeight="1">
      <x:c r="A21" s="120"/>
      <x:c r="B21" s="117">
        <x:v>19</x:v>
      </x:c>
      <x:c r="C21" s="117" t="s">
        <x:v>30</x:v>
      </x:c>
      <x:c r="D21" s="117" t="s">
        <x:v>69</x:v>
      </x:c>
      <x:c r="E21" s="91" t="s">
        <x:v>70</x:v>
      </x:c>
      <x:c r="F21" s="102" t="b">
        <x:v>1</x:v>
      </x:c>
      <x:c r="G21" s="105" t="str">
        <x:v>KOSMO-CD #4 Passed. 공식 복합 구조의 원본 정의는 보존하고, 자체 값 요소의 CD dataType을 설정. 예시값의 현실성은 정성 #17 별도 판정.</x:v>
      </x:c>
      <x:c r="H21">
        <x:f>IF(F21,1,0)</x:f>
        <x:v>1</x:v>
      </x:c>
      <x:c r="I21" s="23"/>
      <x:c r="K21" s="25"/>
    </x:row>
    <x:row r="22" ht="52" customHeight="1">
      <x:c r="A22" s="3" t="s">
        <x:v>4</x:v>
      </x:c>
      <x:c r="B22" s="63" t="s">
        <x:v>71</x:v>
      </x:c>
      <x:c r="C22" s="64"/>
      <x:c r="D22" s="64"/>
      <x:c r="E22" s="64"/>
      <x:c r="F22" s="64"/>
      <x:c r="G22" s="65"/>
      <x:c r="I22" s="23"/>
      <x:c r="K22" s="25"/>
    </x:row>
    <x:row r="23" ht="60" customHeight="1">
      <x:c r="A23" s="3" t="s">
        <x:v>72</x:v>
      </x:c>
      <x:c r="B23" s="40">
        <x:f>COUNTA(D3:D21)</x:f>
        <x:v>19</x:v>
      </x:c>
      <x:c r="C23" s="122" t="str">
        <x:v>정량 19/19·정성 32/32 기준충족. 최신 Validator 69 Passed·1 Failed와 식별자 예외·규칙 충돌 근거를 반영함.</x:v>
      </x:c>
      <x:c r="D23" s="123"/>
      <x:c r="E23" s="123"/>
      <x:c r="F23" s="123"/>
      <x:c r="G23" s="124"/>
      <x:c r="K23" s="25"/>
    </x:row>
    <x:row r="24">
      <x:c r="B24" s="13" t="str"/>
      <x:c r="K24" s="25"/>
    </x:row>
    <x:row r="25">
      <x:c r="K25" s="25"/>
    </x:row>
    <x:row r="26">
      <x:c r="K26" s="26"/>
    </x:row>
    <x:row r="29">
      <x:c r="H29" s="13"/>
    </x:row>
  </x:sheetData>
  <x:mergeCells>
    <x:mergeCell ref="C23:G23"/>
    <x:mergeCell ref="A1:G1"/>
    <x:mergeCell ref="A10:A14"/>
    <x:mergeCell ref="B22:G22"/>
    <x:mergeCell ref="A4:A5"/>
    <x:mergeCell ref="A6:A9"/>
    <x:mergeCell ref="A19:A21"/>
    <x:mergeCell ref="A15:A16"/>
    <x:mergeCell ref="A17:A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7"/>
  <x:cols>
    <x:col min="1" max="4" width="9" style="12" customWidth="0"/>
    <x:col min="5" max="6" width="15" style="12" customWidth="1"/>
    <x:col min="7" max="7" width="17" style="12" customWidth="1"/>
    <x:col min="8" max="8" width="21.33203125" style="12" customWidth="1"/>
    <x:col min="9" max="9" width="28.5" customWidth="1"/>
  </x:cols>
  <x:sheetData>
    <x:row r="1" ht="20">
      <x:c r="A1" s="69" t="str">
        <x:v>열교환기 정량적 검토 결과</x:v>
      </x:c>
      <x:c r="B1" s="70"/>
      <x:c r="C1" s="70"/>
      <x:c r="D1" s="70"/>
      <x:c r="E1" s="70"/>
      <x:c r="F1" s="70"/>
      <x:c r="G1" s="70"/>
      <x:c r="H1" s="70"/>
      <x:c r="I1" s="70"/>
      <x:c r="J1" s="19"/>
    </x:row>
    <x:row r="2">
      <x:c r="A2" s="71" t="s">
        <x:v>73</x:v>
      </x:c>
      <x:c r="B2" s="71"/>
      <x:c r="C2" s="71"/>
      <x:c r="D2" s="71"/>
      <x:c r="E2" s="1" t="s">
        <x:v>74</x:v>
      </x:c>
      <x:c r="F2" s="2" t="s">
        <x:v>75</x:v>
      </x:c>
      <x:c r="G2" s="1" t="s">
        <x:v>76</x:v>
      </x:c>
      <x:c r="H2" s="1" t="s">
        <x:v>77</x:v>
      </x:c>
      <x:c r="I2" s="1" t="s">
        <x:v>4</x:v>
      </x:c>
    </x:row>
    <x:row r="3">
      <x:c r="A3" s="54" t="s">
        <x:v>78</x:v>
      </x:c>
      <x:c r="B3" s="54"/>
      <x:c r="C3" s="54"/>
      <x:c r="D3" s="54"/>
      <x:c r="E3" s="107" t="str">
        <x:v>충족</x:v>
      </x:c>
      <x:c r="F3" s="75"/>
      <x:c r="G3" s="11">
        <x:f>SUM('AAS Model Checklist'!H3:H21)</x:f>
        <x:v>19</x:v>
      </x:c>
      <x:c r="H3" s="11">
        <x:f>ROUND(G3/$G$5*100,1)</x:f>
        <x:v>100</x:v>
      </x:c>
      <x:c r="I3" s="34" t="s">
        <x:v>79</x:v>
      </x:c>
    </x:row>
    <x:row r="4">
      <x:c r="A4" s="54"/>
      <x:c r="B4" s="54"/>
      <x:c r="C4" s="54"/>
      <x:c r="D4" s="54"/>
      <x:c r="E4" s="107" t="str">
        <x:v>미확정</x:v>
      </x:c>
      <x:c r="F4" s="75"/>
      <x:c r="G4" s="43">
        <x:f>'AAS Model Checklist'!B23-G3</x:f>
        <x:v>0</x:v>
      </x:c>
      <x:c r="H4" s="11">
        <x:f>ROUND(G4/$G$5*100,1)</x:f>
        <x:v>0</x:v>
      </x:c>
      <x:c r="I4" s="34" t="str">
        <x:v>보완필요 또는 확인필요</x:v>
      </x:c>
    </x:row>
    <x:row r="5">
      <x:c r="A5" s="54"/>
      <x:c r="B5" s="54"/>
      <x:c r="C5" s="54"/>
      <x:c r="D5" s="54"/>
      <x:c r="E5" s="14" t="s">
        <x:v>72</x:v>
      </x:c>
      <x:c r="F5" s="15" t="s">
        <x:v>80</x:v>
      </x:c>
      <x:c r="G5" s="14">
        <x:f>SUM(G3:G4)</x:f>
        <x:v>19</x:v>
      </x:c>
      <x:c r="H5" s="14">
        <x:f>ROUND(G5/$G$5*100,1)</x:f>
        <x:v>100</x:v>
      </x:c>
      <x:c r="I5" s="35" t="s">
        <x:v>81</x:v>
      </x:c>
    </x:row>
    <x:row r="6">
      <x:c r="A6" s="73" t="s">
        <x:v>82</x:v>
      </x:c>
      <x:c r="B6" s="73"/>
      <x:c r="C6" s="73"/>
      <x:c r="D6" s="73"/>
      <x:c r="E6" s="72" t="s">
        <x:v>30</x:v>
      </x:c>
      <x:c r="F6" s="11" t="s">
        <x:v>83</x:v>
      </x:c>
      <x:c r="G6" s="11">
        <x:f>SUMIF('AAS Model Checklist'!C3:C21,"필수",'AAS Model Checklist'!H3:H21)</x:f>
        <x:v>16</x:v>
      </x:c>
      <x:c r="H6" s="11">
        <x:f>ROUND(G6/$G$5*100,1)</x:f>
        <x:v>84.2</x:v>
      </x:c>
      <x:c r="I6" s="34" t="s">
        <x:v>84</x:v>
      </x:c>
    </x:row>
    <x:row r="7">
      <x:c r="A7" s="73"/>
      <x:c r="B7" s="73"/>
      <x:c r="C7" s="73"/>
      <x:c r="D7" s="73"/>
      <x:c r="E7" s="72"/>
      <x:c r="F7" s="11" t="s">
        <x:v>85</x:v>
      </x:c>
      <x:c r="G7" s="11">
        <x:f>COUNTIF('AAS Model Checklist'!C3:C21,"필수")-G6</x:f>
        <x:v>0</x:v>
      </x:c>
      <x:c r="H7" s="11">
        <x:f>ROUND(G7/$G$5*100,1)</x:f>
        <x:v>0</x:v>
      </x:c>
      <x:c r="I7" s="34" t="str">
        <x:v>필수 보완/확인 대기</x:v>
      </x:c>
    </x:row>
    <x:row r="8">
      <x:c r="A8" s="73"/>
      <x:c r="B8" s="73"/>
      <x:c r="C8" s="73"/>
      <x:c r="D8" s="73"/>
      <x:c r="E8" s="72" t="s">
        <x:v>41</x:v>
      </x:c>
      <x:c r="F8" s="11" t="s">
        <x:v>86</x:v>
      </x:c>
      <x:c r="G8" s="11">
        <x:f>SUMIF('AAS Model Checklist'!C3:C21,"옵션",'AAS Model Checklist'!H3:H21)</x:f>
        <x:v>3</x:v>
      </x:c>
      <x:c r="H8" s="11">
        <x:f>ROUND(G8/$G$5*100,1)</x:f>
        <x:v>15.8</x:v>
      </x:c>
      <x:c r="I8" s="34" t="s">
        <x:v>87</x:v>
      </x:c>
    </x:row>
    <x:row r="9">
      <x:c r="A9" s="73"/>
      <x:c r="B9" s="73"/>
      <x:c r="C9" s="73"/>
      <x:c r="D9" s="73"/>
      <x:c r="E9" s="72"/>
      <x:c r="F9" s="11" t="s">
        <x:v>88</x:v>
      </x:c>
      <x:c r="G9" s="11">
        <x:f>COUNTIF('AAS Model Checklist'!C3:C21,"옵션")-G8</x:f>
        <x:v>0</x:v>
      </x:c>
      <x:c r="H9" s="11">
        <x:f>ROUND(G9/$G$5*100,1)</x:f>
        <x:v>0</x:v>
      </x:c>
      <x:c r="I9" s="34" t="str">
        <x:v>옵션 보완/확인 대기</x:v>
      </x:c>
    </x:row>
    <x:row r="10">
      <x:c r="A10" s="73"/>
      <x:c r="B10" s="73"/>
      <x:c r="C10" s="73"/>
      <x:c r="D10" s="73"/>
      <x:c r="E10" s="14" t="s">
        <x:v>72</x:v>
      </x:c>
      <x:c r="F10" s="16" t="s">
        <x:v>80</x:v>
      </x:c>
      <x:c r="G10" s="14">
        <x:f>SUM(G6:G9)</x:f>
        <x:v>19</x:v>
      </x:c>
      <x:c r="H10" s="14">
        <x:f>ROUND(G10/$G$5*100,1)</x:f>
        <x:v>100</x:v>
      </x:c>
      <x:c r="I10" s="35" t="s">
        <x:v>81</x:v>
      </x:c>
    </x:row>
    <x:row r="12" ht="65" customHeight="1">
      <x:c r="A12" s="108" t="str">
        <x:f>G3&amp;"/"&amp;G5&amp;" 정량 기준 충족. 최신 Validator 69 Passed·1 Failed. 공식 IRI 2건 오판과 자체 SM/CD 경로 1건의 규칙 충돌을 구분하여 예외 근거 반영."</x:f>
        <x:v>19/19 정량 기준 충족. 최신 Validator 69 Passed·1 Failed. 공식 IRI 2건 오판과 자체 SM/CD 경로 1건의 규칙 충돌을 구분하여 예외 근거 반영.</x:v>
      </x:c>
      <x:c r="B12" s="108"/>
      <x:c r="C12" s="108"/>
      <x:c r="D12" s="108"/>
      <x:c r="E12" s="108"/>
      <x:c r="F12" s="108"/>
      <x:c r="G12" s="108"/>
      <x:c r="H12" s="108"/>
      <x:c r="I12" s="108"/>
    </x:row>
    <x:row r="13">
      <x:c r="B13" s="33"/>
    </x:row>
  </x:sheetData>
  <x:mergeCells>
    <x:mergeCell ref="A12:I12"/>
    <x:mergeCell ref="A1:I1"/>
    <x:mergeCell ref="A2:D2"/>
    <x:mergeCell ref="E6:E7"/>
    <x:mergeCell ref="E8:E9"/>
    <x:mergeCell ref="A3:D5"/>
    <x:mergeCell ref="A6:D10"/>
    <x:mergeCell ref="E3:F3"/>
    <x:mergeCell ref="E4:F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7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2" customHeight="1">
      <x:c r="A1" s="109" t="str">
        <x:v>추가 검토사항 — 열교환기 최종 파일 기준</x:v>
      </x:c>
      <x:c r="B1" s="110"/>
      <x:c r="C1" s="110"/>
      <x:c r="D1" s="110"/>
      <x:c r="E1" s="110"/>
      <x:c r="F1" s="110"/>
    </x:row>
    <x:row r="2" ht="22" customHeight="1">
      <x:c r="A2" s="93"/>
      <x:c r="B2" s="94"/>
      <x:c r="C2" s="93"/>
      <x:c r="D2" s="111"/>
      <x:c r="E2" s="112"/>
      <x:c r="F2" s="111"/>
    </x:row>
    <x:row r="3" ht="120" customHeight="1">
      <x:c r="A3" s="93" t="str">
        <x:v>판정 근거</x:v>
      </x:c>
      <x:c r="B3" s="94" t="str">
        <x:v>PlateHeatExchanger_20261009194744_test_result.html: 최종 제출 파일명 PlateHeatExchanger_AAS_v0.0.1.aasx에 대해 69 Passed·1 Failed(KOSMO-CD #2). Reliability·AddressInformation 2건은 공식 IDTA IRI를 자체 /ids/cd/ 형식으로 강제한 오판이므로 원본 유지. OperationalData 1건은 자체 /ids/sm/ 경로를 CD의 /ids/cd/ 규칙과 비교한 충돌이며 공식 IRI 오판과 구분한다. 기존 수동 대조에 따른 예외 판정을 유지하고 전체 Passed로 표시하지 않는다. 검사 제외 표준 SM 5종은 원본 수동 대조 근거를 유지한다.</x:v>
      </x:c>
      <x:c r="C3" s="93"/>
      <x:c r="D3" s="113"/>
      <x:c r="E3" s="114"/>
      <x:c r="F3" s="113"/>
    </x:row>
    <x:row r="4" ht="22" customHeight="1">
      <x:c r="A4" s="93"/>
      <x:c r="B4" s="94"/>
      <x:c r="C4" s="94"/>
      <x:c r="D4" s="94"/>
      <x:c r="E4" s="94"/>
      <x:c r="F4" s="94"/>
    </x:row>
    <x:row r="5" ht="120" hidden="0" customHeight="1">
      <x:c r="A5" s="93" t="str">
        <x:v>집계 의미</x:v>
      </x:c>
      <x:c r="B5" s="94" t="str">
        <x:v>정량 19/19·정성 32/32는 예외와 수동 대조를 반영한 체크리스트 판정이다. 최신 HTML은 69 Passed·1 Failed이며 전체 통과로 표시하지 않는다.</x:v>
      </x:c>
      <x:c r="C5" s="94"/>
      <x:c r="D5" s="94"/>
      <x:c r="E5" s="94"/>
      <x:c r="F5" s="94"/>
    </x:row>
    <x:row r="6" ht="22" customHeight="1">
      <x:c r="A6" s="93"/>
      <x:c r="B6" s="115"/>
      <x:c r="C6" s="115"/>
      <x:c r="D6" s="115"/>
      <x:c r="E6" s="115"/>
      <x:c r="F6" s="115"/>
    </x:row>
    <x:row r="7" ht="120" customHeight="1">
      <x:c r="A7" s="99" t="str">
        <x:v>예외 구분</x:v>
      </x:c>
      <x:c r="B7" s="99" t="str">
        <x:v>Reliability 및 AddressInformation은 공식 IRI 유지. OperationalData는 자체 SM 의미식별자와 CD 식별자가 같고 연결이 정상이나 서로 다른 경로 형식 검사 요구가 충돌한다. 이 자체 IRI를 공식 원본이라고 표현하지 않는다.</x:v>
      </x:c>
      <x:c r="C7" s="99"/>
      <x:c r="D7" s="99"/>
      <x:c r="E7" s="99"/>
      <x:c r="F7" s="99"/>
    </x:row>
    <x:row r="8" ht="22" customHeight="1">
      <x:c r="A8" s="99"/>
      <x:c r="B8" s="99"/>
      <x:c r="C8" s="99"/>
      <x:c r="D8" s="99"/>
      <x:c r="E8" s="99"/>
      <x:c r="F8" s="99"/>
    </x:row>
    <x:row r="9" ht="200" customHeight="1">
      <x:c r="A9" s="99" t="str">
        <x:v>잔여 보완</x:v>
      </x:c>
      <x:c r="B9" s="99" t="str">
        <x:v>충족. MTTF 10 y·MTBF 5 y는 새로 설정한 가상 예시이며 공식 단위 y 및 자료형 xs:int를 유지했다. 실측/보증 수명이나 과거 수치의 시간 환산으로 주장하지 않는다. 계측·제어부 정격 입력은 0.2 kW=200 W, 정격 전류는 1000 mA=1 A의 가상 예시로 통일하고 외부 순환펌프와 열부하를 제외한다. AASX·계획서·가이던스 일치. 충족. 제공된 ECLASS 16.0 BASIC 속성 23,093개와 단위 자료를 검색·비교했다. 기존 12개에 8개를 추가 표준 매핑하여 20개 사양·운전 속성에 적용. 기존 자체 값 요소 97개 위치의 후보·정의·자료형·단위·채택/유지 사유는 검토근거 표 참조. IEC CDD 공식 원본 식별자는 유지하며 온라인 전체 사전 검색 완료를 주장하지 않는다.</x:v>
      </x:c>
      <x:c r="C9" s="99"/>
      <x:c r="D9" s="99"/>
      <x:c r="E9" s="99"/>
      <x:c r="F9" s="99"/>
    </x:row>
    <x:row r="10" ht="22" customHeight="1">
      <x:c r="A10" s="99"/>
      <x:c r="B10" s="99"/>
      <x:c r="C10" s="99"/>
      <x:c r="D10" s="99"/>
      <x:c r="E10" s="99"/>
      <x:c r="F10" s="99"/>
    </x:row>
    <x:row r="11" ht="120" customHeight="1">
      <x:c r="A11" s="99" t="str">
        <x:v>검토 기준</x:v>
      </x:c>
      <x:c r="B11" s="99" t="str">
        <x:v>2026-10-12 / PlateHeatExchanger_AAS_v0.0.1.aasx / SHA-256 a41651c705b868b72d8b9ee97fecab8e89f92ff94b3c67655e94ee8508e494bb / 검토자 공란.</x:v>
      </x:c>
      <x:c r="C11" s="99"/>
      <x:c r="D11" s="99"/>
      <x:c r="E11" s="99"/>
      <x:c r="F11" s="99"/>
    </x:row>
    <x:row r="12" ht="22" customHeight="1">
      <x:c r="A12" s="99"/>
      <x:c r="B12" s="99"/>
      <x:c r="C12" s="99"/>
      <x:c r="D12" s="99"/>
      <x:c r="E12" s="99"/>
      <x:c r="F12" s="99"/>
    </x:row>
    <x:row r="13" ht="22" customHeight="1"/>
    <x:row r="14" ht="22" customHeight="1"/>
    <x:row r="15" ht="22" customHeight="1"/>
    <x:row r="16" ht="22" customHeight="1">
      <x:c r="A16" s="76"/>
      <x:c r="B16" s="76"/>
      <x:c r="C16" s="76"/>
      <x:c r="D16" s="76"/>
      <x:c r="E16" s="76"/>
      <x:c r="F16" s="76"/>
    </x:row>
  </x:sheetData>
  <x:mergeCells>
    <x:mergeCell ref="A1:F1"/>
    <x:mergeCell ref="B3:F3"/>
    <x:mergeCell ref="B5:F5"/>
    <x:mergeCell ref="B7:F7"/>
    <x:mergeCell ref="B9:F9"/>
    <x:mergeCell ref="B11:F1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47" hidden="0" customWidth="1"/>
    <x:col min="3" max="3" width="47" hidden="0" customWidth="1"/>
    <x:col min="4" max="4" width="34" hidden="0" customWidth="1"/>
    <x:col min="5" max="5" width="65" hidden="0" customWidth="1"/>
    <x:col min="6" max="6" width="60" hidden="0" customWidth="1"/>
  </x:cols>
  <x:sheetData>
    <x:row r="1">
      <x:c r="A1" s="96" t="str">
        <x:v>열교환기 검토 근거 및 보완사항</x:v>
      </x:c>
      <x:c r="B1" s="96"/>
      <x:c r="C1" s="96"/>
      <x:c r="D1" s="96"/>
    </x:row>
    <x:row r="3" ht="65" customHeight="1">
      <x:c r="A3" s="99" t="str">
        <x:v>검토일</x:v>
      </x:c>
      <x:c r="B3" s="99" t="str">
        <x:v>2026-10-12</x:v>
      </x:c>
      <x:c r="C3" s="99"/>
      <x:c r="D3" s="99"/>
    </x:row>
    <x:row r="4" ht="65" customHeight="1">
      <x:c r="A4" s="99" t="str">
        <x:v>기준</x:v>
      </x:c>
      <x:c r="B4" s="99" t="str">
        <x:v>모델링 가이드라인 V2.1.1·지정 references 원본·KTL-AAS-VV-D-2026-041 및 최종 산출물</x:v>
      </x:c>
      <x:c r="C4" s="99"/>
      <x:c r="D4" s="99"/>
    </x:row>
    <x:row r="5" ht="65" customHeight="1">
      <x:c r="A5" s="99" t="str">
        <x:v>AASX</x:v>
      </x:c>
      <x:c r="B5" s="99" t="str">
        <x:v>PlateHeatExchanger_AAS_v0.0.1.aasx</x:v>
      </x:c>
      <x:c r="C5" s="99"/>
      <x:c r="D5" s="99"/>
    </x:row>
    <x:row r="6" ht="65" customHeight="1">
      <x:c r="A6" s="99" t="str">
        <x:v>문서</x:v>
      </x:c>
      <x:c r="B6" s="99" t="str">
        <x:v>열교환기_참조모델개발계획서_v0.0.1.hwp / 열교환기_AAS_활용_가이던스_v0.0.1.docx</x:v>
      </x:c>
      <x:c r="C6" s="99"/>
      <x:c r="D6" s="99"/>
    </x:row>
    <x:row r="7" ht="140" customHeight="1">
      <x:c r="A7" s="99" t="str">
        <x:v>Validator</x:v>
      </x:c>
      <x:c r="B7" s="99" t="str">
        <x:v>PlateHeatExchanger_20261009194744_test_result.html: 최종 제출 파일명 PlateHeatExchanger_AAS_v0.0.1.aasx에 대해 69 Passed·1 Failed(KOSMO-CD #2). Reliability·AddressInformation 2건은 공식 IDTA IRI를 자체 /ids/cd/ 형식으로 강제한 오판이므로 원본 유지. OperationalData 1건은 자체 /ids/sm/ 경로를 CD의 /ids/cd/ 규칙과 비교한 충돌이며 공식 IRI 오판과 구분한다. 기존 수동 대조에 따른 예외 판정을 유지하고 전체 Passed로 표시하지 않는다. 검사 제외 표준 SM 5종은 원본 수동 대조 근거를 유지한다.</x:v>
      </x:c>
      <x:c r="C7" s="99"/>
      <x:c r="D7" s="99"/>
    </x:row>
    <x:row r="8" ht="45" customHeight="1">
      <x:c r="A8" s="99" t="str">
        <x:v>AASX SHA-256</x:v>
      </x:c>
      <x:c r="B8" s="99" t="str">
        <x:v>a41651c705b868b72d8b9ee97fecab8e89f92ff94b3c67655e94ee8508e494bb</x:v>
      </x:c>
      <x:c r="C8" s="99"/>
      <x:c r="D8" s="99"/>
    </x:row>
    <x:row r="9" ht="65" customHeight="1">
      <x:c r="A9" s="99" t="str">
        <x:v>구성</x:v>
      </x:c>
      <x:c r="B9" s="99" t="str">
        <x:v>AAS 1개 / SM 6개 / SME 273개 / CD 267개 / 미매핑 0개</x:v>
      </x:c>
      <x:c r="C9" s="99"/>
      <x:c r="D9" s="99"/>
    </x:row>
    <x:row r="10" ht="65" customHeight="1">
      <x:c r="A10" s="99" t="str">
        <x:v>잔여 보완</x:v>
      </x:c>
      <x:c r="B10" s="99" t="str">
        <x:v>신뢰성 값·전력 범위·표준사전 근거 보완 후 해당 정성 3항목 충족. 최종본 외부 Validator 재실행은 미실시이며 종전 HTML과 구분.</x:v>
      </x:c>
      <x:c r="C10" s="99"/>
      <x:c r="D10" s="99"/>
    </x:row>
    <x:row r="11" ht="65" customHeight="1">
      <x:c r="A11" s="99" t="str">
        <x:v>검토자</x:v>
      </x:c>
      <x:c r="B11" s="99" t="str"/>
      <x:c r="C11" s="99"/>
      <x:c r="D11" s="99"/>
    </x:row>
    <x:row r="12">
      <x:c r="A12" s="99"/>
      <x:c r="B12" s="99"/>
      <x:c r="C12" s="99"/>
      <x:c r="D12" s="99"/>
    </x:row>
    <x:row r="13">
      <x:c r="A13" s="100" t="str">
        <x:v>항목</x:v>
      </x:c>
      <x:c r="B13" s="100" t="str">
        <x:v>대상</x:v>
      </x:c>
      <x:c r="C13" s="100" t="str">
        <x:v>판정</x:v>
      </x:c>
      <x:c r="D13" s="100" t="str">
        <x:v>근거 / 남은 조치</x:v>
      </x:c>
    </x:row>
    <x:row r="14" ht="90" customHeight="1">
      <x:c r="A14" s="99" t="str">
        <x:v>KTL D-01</x:v>
      </x:c>
      <x:c r="B14" s="99" t="str">
        <x:v>Thumbnail 경로</x:v>
      </x:c>
      <x:c r="C14" s="99" t="str">
        <x:v>반영</x:v>
      </x:c>
      <x:c r="D14" s="99" t="str">
        <x:v>내부 경로 정규화 및 relationship 대상 존재 확인</x:v>
      </x:c>
    </x:row>
    <x:row r="15" ht="90" customHeight="1">
      <x:c r="A15" s="99" t="str">
        <x:v>KTL D-02</x:v>
      </x:c>
      <x:c r="B15" s="99" t="str">
        <x:v>산출물 정합성</x:v>
      </x:c>
      <x:c r="C15" s="99" t="str">
        <x:v>반영</x:v>
      </x:c>
      <x:c r="D15" s="99" t="str">
        <x:v>외부 개정 계획서·가이던스 6종 및 장비 상세 201행 대조. 이전 내장 계획서와 구분</x:v>
      </x:c>
    </x:row>
    <x:row r="16" ht="90" customHeight="1">
      <x:c r="A16" s="99" t="str">
        <x:v>KTL D-03</x:v>
      </x:c>
      <x:c r="B16" s="99" t="str">
        <x:v>Handover Language</x:v>
      </x:c>
      <x:c r="C16" s="99" t="str">
        <x:v>반영</x:v>
      </x:c>
      <x:c r="D16" s="99" t="str">
        <x:v>공식 SML idShort Language와 원본 구조 대조</x:v>
      </x:c>
    </x:row>
    <x:row r="17" ht="240" customHeight="1">
      <x:c r="A17" s="99" t="str">
        <x:v>KTL D-04</x:v>
      </x:c>
      <x:c r="B17" s="99" t="str">
        <x:v>표준사전 활용</x:v>
      </x:c>
      <x:c r="C17" s="99" t="str">
        <x:v>근거 보강</x:v>
      </x:c>
      <x:c r="D17" s="99" t="str">
        <x:v>충족. 제공된 ECLASS 16.0 BASIC 속성 23,093개와 단위 자료를 검색·비교했다. 기존 12개에 8개를 추가 표준 매핑하여 20개 사양·운전 속성에 적용. 기존 자체 값 요소 97개 위치의 후보·정의·자료형·단위·채택/유지 사유는 검토근거 표 참조. IEC CDD 공식 원본 식별자는 유지하며 온라인 전체 사전 검색 완료를 주장하지 않는다.</x:v>
      </x:c>
    </x:row>
    <x:row r="18" ht="90" customHeight="1">
      <x:c r="A18" s="99" t="str">
        <x:v>KTL D-05</x:v>
      </x:c>
      <x:c r="B18" s="99" t="str">
        <x:v>UML·추가요소·출처</x:v>
      </x:c>
      <x:c r="C18" s="99" t="str">
        <x:v>반영</x:v>
      </x:c>
      <x:c r="D18" s="99" t="str">
        <x:v>6개 실제 추출 UML, 장비특화 확장 구분 및 공식 템플릿 링크</x:v>
      </x:c>
    </x:row>
    <x:row r="19" ht="90" customHeight="1">
      <x:c r="A19" s="99" t="str">
        <x:v>KTL D-06</x:v>
      </x:c>
      <x:c r="B19" s="99" t="str">
        <x:v>문서 현재상태</x:v>
      </x:c>
      <x:c r="C19" s="99" t="str">
        <x:v>반영</x:v>
      </x:c>
      <x:c r="D19" s="99" t="str">
        <x:v>PlateHeatExchanger_20261009194744_test_result.html: 69 Passed·1 Failed. 공식 IRI 2건 오판·자체 경로 1건 규칙 충돌 구분.</x:v>
      </x:c>
    </x:row>
    <x:row r="20" ht="90" customHeight="1">
      <x:c r="A20" s="99" t="str">
        <x:v>KTL D-07</x:v>
      </x:c>
      <x:c r="B20" s="99" t="str">
        <x:v>수량·구조·값</x:v>
      </x:c>
      <x:c r="C20" s="99" t="str">
        <x:v>반영</x:v>
      </x:c>
      <x:c r="D20" s="99" t="str">
        <x:v>34+38+82+48+15+56=273 SME. 상세표 201행 대조</x:v>
      </x:c>
    </x:row>
    <x:row r="21" ht="90" customHeight="1">
      <x:c r="A21" s="99" t="str">
        <x:v>KTL D-08</x:v>
      </x:c>
      <x:c r="B21" s="99" t="str">
        <x:v>접근 온도차</x:v>
      </x:c>
      <x:c r="C21" s="99" t="str">
        <x:v>반영</x:v>
      </x:c>
      <x:c r="D21" s="99" t="str">
        <x:v>고온측 출구 26.2−저온측 입구20.4=5.8 K. 목표5, 허용8 K. 열수지 일치</x:v>
      </x:c>
    </x:row>
    <x:row r="22" ht="240" customHeight="1">
      <x:c r="A22" s="99" t="str">
        <x:v>추가 정성 검토</x:v>
      </x:c>
      <x:c r="B22" s="99" t="str">
        <x:v>값·단위 및 설명</x:v>
      </x:c>
      <x:c r="C22" s="99" t="str">
        <x:v>보완 완료</x:v>
      </x:c>
      <x:c r="D22" s="99" t="str">
        <x:v>충족. MTTF 10 y·MTBF 5 y는 새로 설정한 가상 예시이며 공식 단위 y 및 자료형 xs:int를 유지했다. 실측/보증 수명이나 과거 수치의 시간 환산으로 주장하지 않는다. 계측·제어부 정격 입력은 0.2 kW=200 W, 정격 전류는 1000 mA=1 A의 가상 예시로 통일하고 외부 순환펌프와 열부하를 제외한다. AASX·계획서·가이던스 일치.</x:v>
      </x:c>
    </x:row>
    <x:row r="23" ht="90" customHeight="1">
      <x:c r="A23" s="99" t="str">
        <x:v>검토 범위</x:v>
      </x:c>
      <x:c r="B23" s="99" t="str">
        <x:v>수정 범위</x:v>
      </x:c>
      <x:c r="C23" s="99" t="str">
        <x:v>체크리스트만 작성</x:v>
      </x:c>
      <x:c r="D23" s="99" t="str">
        <x:v>2026-10-12 최신 Validator 결과를 정성·정량 체크리스트에 반영. AASX·계획서·가이던스·HTML은 변경하지 않음. 검토자 공란.</x:v>
      </x:c>
    </x:row>
    <x:row r="25" ht="45" customHeight="1">
      <x:c r="A25" s="127" t="str">
        <x:v>요소 경로</x:v>
      </x:c>
      <x:c r="B25" s="127" t="str">
        <x:v>현재 자료형 / 단위</x:v>
      </x:c>
      <x:c r="C25" s="127" t="str">
        <x:v>최종 semanticId</x:v>
      </x:c>
      <x:c r="D25" s="127" t="str">
        <x:v>판정</x:v>
      </x:c>
      <x:c r="E25" s="127" t="str">
        <x:v>표준 후보 및 정의 / 자료형 / 단위 / 물리량</x:v>
      </x:c>
      <x:c r="F25" s="127" t="str">
        <x:v>채택 또는 유지 이유</x:v>
      </x:c>
    </x:row>
    <x:row r="26" ht="240" customHeight="1">
      <x:c r="A26" s="126" t="str">
        <x:v>TechnicalData/TechnicalPropertyAreas/[0]/HeatExchangerCommonSpecifications/ConstructionAndServiceability/FlowArrangement</x:v>
      </x:c>
      <x:c r="B26" s="126" t="str">
        <x:v>xs:string / </x:v>
      </x:c>
      <x:c r="C26" s="126" t="str">
        <x:v>https://www.smart-factory.kr/ids/cd/FlowArrangement/1/0</x:v>
      </x:c>
      <x:c r="D26" s="126" t="str">
        <x:v>자체 유지</x:v>
      </x:c>
      <x:c r="E26" s="126" t="str">
        <x:v>0173-1#02-AAF358#009 Flow direction / STRING / - / - / direction of a laminar flow
0173-1#02-AAZ410#004 Flow direction / STRING / - / - / flow direction of a hydraulic device</x:v>
      </x:c>
      <x:c r="F26" s="126" t="str">
        <x:v>양 유체가 서로 반대/같은 방향으로 흐르는 상대 배치(Counter flow)이다. 후보는 단일 층류 또는 유압장치의 유동 방향이므로 두 유체의 상대적인 열교환 배치와 구분한다.</x:v>
      </x:c>
    </x:row>
    <x:row r="27" ht="240" customHeight="1">
      <x:c r="A27" s="126" t="str">
        <x:v>TechnicalData/TechnicalPropertyAreas/[0]/HeatExchangerCommonSpecifications/ConstructionAndServiceability/CleaningSupport</x:v>
      </x:c>
      <x:c r="B27" s="126" t="str">
        <x:v>xs:boolean / </x:v>
      </x:c>
      <x:c r="C27" s="126" t="str">
        <x:v>https://www.smart-factory.kr/ids/cd/CleaningSupport/1/0</x:v>
      </x:c>
      <x:c r="D27" s="126" t="str">
        <x:v>자체 유지</x:v>
      </x:c>
      <x:c r="E27" s="126" t="str">
        <x:v>0173-1#02-AAL127#006 wet vacuum cleaning possible / BOOLEAN / - / - / whether tha vacuum cleaning of wet dirt is possible</x:v>
      </x:c>
      <x:c r="F27" s="126" t="str">
        <x:v>CIP 작업 설정·지원 여부·세정 소모품이다. 후보는 젖은 오물의 진공 청소 기능으로 다른 청소 방식이다.</x:v>
      </x:c>
    </x:row>
    <x:row r="28" ht="240" customHeight="1">
      <x:c r="A28" s="126" t="str">
        <x:v>TechnicalData/TechnicalPropertyAreas/[1]/ThermalPerformanceSpecifications/HeatTransferCapacityAndFlowDesign/DesignHeatDuty</x:v>
      </x:c>
      <x:c r="B28" s="126" t="str">
        <x:v>xs:double / kW</x:v>
      </x:c>
      <x:c r="C28" s="126" t="str">
        <x:v>https://www.smart-factory.kr/ids/cd/DesignHeatDuty/1/0</x:v>
      </x:c>
      <x:c r="D28" s="126" t="str">
        <x:v>자체 유지</x:v>
      </x:c>
      <x:c r="E28" s="126" t="str">
        <x:v>0173-1#02-BAI259#008 Heat transfer surface area (Section 1/Section 2) / REAL_MEASURE / m² / surface / Size of a surface design for thermal transfer
0173-1#02-AAC970#010 Rated power / REAL_MEASURE / W / active power / value stipulated by the manufacturer for the electrical power for which the operating unit has been designed with due consideration of the specified ambient and operating condition</x:v>
      </x:c>
      <x:c r="F28" s="126" t="str">
        <x:v>열부하·열교환 유용도 및 요구/목표값이다. 전열면적(m²)이나 정격 전기입력(W)은 물리량·단위가 달라 대체하지 않는다.</x:v>
      </x:c>
    </x:row>
    <x:row r="29" ht="240" customHeight="1">
      <x:c r="A29" s="126" t="str">
        <x:v>TechnicalData/TechnicalPropertyAreas/[1]/ThermalPerformanceSpecifications/HeatTransferCapacityAndFlowDesign/PrimarySideDesignFlowRate</x:v>
      </x:c>
      <x:c r="B29" s="126" t="str">
        <x:v>xs:double / m³/h</x:v>
      </x:c>
      <x:c r="C29" s="126" t="str">
        <x:v>https://www.smart-factory.kr/ids/cd/PrimarySideDesignFlowRate/1/0</x:v>
      </x:c>
      <x:c r="D29" s="126" t="str">
        <x:v>자체 유지</x:v>
      </x:c>
      <x:c r="E29" s="126" t="str">
        <x:v>0173-1#02-AAI965#006 volume flow, heat side / REAL_MEASURE / m³/h / volume flow rate or volume velocity / indication of the heater sided volume flow, ie the volume of fluid that flows per hour through a pipe
0173-1#02-AAI966#006 volume flow, heat source side / REAL_MEASURE / m³/h / volume flow rate or volume velocity / indication of the heat source sided volume flow, ie the volume of fluid that flows per hour through a pipe
0173-1#02-ABL382#002 Max flow rate (Section 1) / REAL_MEASURE / kg/s / mass flow rate / Maximum quantity of material which pass through the operating resource in a prescribed period of time</x:v>
      </x:c>
      <x:c r="F29" s="126" t="str">
        <x:v>설계·목표·현재·세정의 역할과 1/2차측을 지정한 체적유량이다. 최대 질량유량은 kg/s로 물리량이 다르며 가열측/열원측 명칭만으로 본 모델의 측정 위치·설정 역할을 확정하지 않는다.</x:v>
      </x:c>
    </x:row>
    <x:row r="30" ht="240" customHeight="1">
      <x:c r="A30" s="126" t="str">
        <x:v>TechnicalData/TechnicalPropertyAreas/[1]/ThermalPerformanceSpecifications/HeatTransferCapacityAndFlowDesign/SecondarySideDesignFlowRate</x:v>
      </x:c>
      <x:c r="B30" s="126" t="str">
        <x:v>xs:double / m³/h</x:v>
      </x:c>
      <x:c r="C30" s="126" t="str">
        <x:v>https://www.smart-factory.kr/ids/cd/SecondarySideDesignFlowRate/1/0</x:v>
      </x:c>
      <x:c r="D30" s="126" t="str">
        <x:v>자체 유지</x:v>
      </x:c>
      <x:c r="E30" s="126" t="str">
        <x:v>0173-1#02-AAI965#006 volume flow, heat side / REAL_MEASURE / m³/h / volume flow rate or volume velocity / indication of the heater sided volume flow, ie the volume of fluid that flows per hour through a pipe
0173-1#02-AAI966#006 volume flow, heat source side / REAL_MEASURE / m³/h / volume flow rate or volume velocity / indication of the heat source sided volume flow, ie the volume of fluid that flows per hour through a pipe
0173-1#02-ABL382#002 Max flow rate (Section 1) / REAL_MEASURE / kg/s / mass flow rate / Maximum quantity of material which pass through the operating resource in a prescribed period of time</x:v>
      </x:c>
      <x:c r="F30" s="126" t="str">
        <x:v>설계·목표·현재·세정의 역할과 1/2차측을 지정한 체적유량이다. 최대 질량유량은 kg/s로 물리량이 다르며 가열측/열원측 명칭만으로 본 모델의 측정 위치·설정 역할을 확정하지 않는다.</x:v>
      </x:c>
    </x:row>
    <x:row r="31" ht="240" customHeight="1">
      <x:c r="A31" s="126" t="str">
        <x:v>TechnicalData/TechnicalPropertyAreas/[1]/ThermalPerformanceSpecifications/DesignTemperatureProfile/PrimarySideDesignInletTemperature</x:v>
      </x:c>
      <x:c r="B31" s="126" t="str">
        <x:v>xs:double / °C</x:v>
      </x:c>
      <x:c r="C31" s="126" t="str">
        <x:v>https://www.smart-factory.kr/ids/cd/PrimarySideDesignInletTemperature/1/0</x:v>
      </x:c>
      <x:c r="D31" s="126" t="str">
        <x:v>자체 유지</x:v>
      </x:c>
      <x:c r="E31" s="126" t="str">
        <x:v>0173-1#02-BAI173#007 Inlet temperature (Section 1) / REAL_MEASURE / °C / Service temperature / Measured temperature at the inlet of the object
0173-1#02-BAI172#007 Outlet temperature (Section 1) / REAL_MEASURE / °C / Service temperature / Measured temperature at the outlet of the object
0173-1#02-ABM676#001 Design temperature (Section 1) / REAL_MEASURE / °C / Service temperature / The Temperature of the HE Tube/Coil/Process side designed to withstand under normal operating conditions, ensuring safety and structural integrity.</x:v>
      </x:c>
      <x:c r="F31" s="126" t="str">
        <x:v>실측 1차측 입출구 온도는 채택한다. 목표·허용 편차·접근 온도차·세정온도·2차측 온도는 동일한 측정 대상이 아니다. 설계 안전온도는 입출구 운전 목표값과 구분한다.</x:v>
      </x:c>
    </x:row>
    <x:row r="32" ht="240" customHeight="1">
      <x:c r="A32" s="126" t="str">
        <x:v>TechnicalData/TechnicalPropertyAreas/[1]/ThermalPerformanceSpecifications/DesignTemperatureProfile/PrimarySideDesignOutletTemperature</x:v>
      </x:c>
      <x:c r="B32" s="126" t="str">
        <x:v>xs:double / °C</x:v>
      </x:c>
      <x:c r="C32" s="126" t="str">
        <x:v>https://www.smart-factory.kr/ids/cd/PrimarySideDesignOutletTemperature/1/0</x:v>
      </x:c>
      <x:c r="D32" s="126" t="str">
        <x:v>자체 유지</x:v>
      </x:c>
      <x:c r="E32" s="126" t="str">
        <x:v>0173-1#02-BAI173#007 Inlet temperature (Section 1) / REAL_MEASURE / °C / Service temperature / Measured temperature at the inlet of the object
0173-1#02-BAI172#007 Outlet temperature (Section 1) / REAL_MEASURE / °C / Service temperature / Measured temperature at the outlet of the object
0173-1#02-ABM676#001 Design temperature (Section 1) / REAL_MEASURE / °C / Service temperature / The Temperature of the HE Tube/Coil/Process side designed to withstand under normal operating conditions, ensuring safety and structural integrity.</x:v>
      </x:c>
      <x:c r="F32" s="126" t="str">
        <x:v>실측 1차측 입출구 온도는 채택한다. 목표·허용 편차·접근 온도차·세정온도·2차측 온도는 동일한 측정 대상이 아니다. 설계 안전온도는 입출구 운전 목표값과 구분한다.</x:v>
      </x:c>
    </x:row>
    <x:row r="33" ht="240" customHeight="1">
      <x:c r="A33" s="126" t="str">
        <x:v>TechnicalData/TechnicalPropertyAreas/[1]/ThermalPerformanceSpecifications/DesignTemperatureProfile/SecondarySideDesignInletTemperature</x:v>
      </x:c>
      <x:c r="B33" s="126" t="str">
        <x:v>xs:double / °C</x:v>
      </x:c>
      <x:c r="C33" s="126" t="str">
        <x:v>https://www.smart-factory.kr/ids/cd/SecondarySideDesignInletTemperature/1/0</x:v>
      </x:c>
      <x:c r="D33" s="126" t="str">
        <x:v>자체 유지</x:v>
      </x:c>
      <x:c r="E33" s="126" t="str">
        <x:v>0173-1#02-BAI173#007 Inlet temperature (Section 1) / REAL_MEASURE / °C / Service temperature / Measured temperature at the inlet of the object
0173-1#02-BAI172#007 Outlet temperature (Section 1) / REAL_MEASURE / °C / Service temperature / Measured temperature at the outlet of the object
0173-1#02-ABM676#001 Design temperature (Section 1) / REAL_MEASURE / °C / Service temperature / The Temperature of the HE Tube/Coil/Process side designed to withstand under normal operating conditions, ensuring safety and structural integrity.</x:v>
      </x:c>
      <x:c r="F33" s="126" t="str">
        <x:v>실측 1차측 입출구 온도는 채택한다. 목표·허용 편차·접근 온도차·세정온도·2차측 온도는 동일한 측정 대상이 아니다. 설계 안전온도는 입출구 운전 목표값과 구분한다.</x:v>
      </x:c>
    </x:row>
    <x:row r="34" ht="240" customHeight="1">
      <x:c r="A34" s="126" t="str">
        <x:v>TechnicalData/TechnicalPropertyAreas/[1]/ThermalPerformanceSpecifications/DesignTemperatureProfile/SecondarySideDesignOutletTemperature</x:v>
      </x:c>
      <x:c r="B34" s="126" t="str">
        <x:v>xs:double / °C</x:v>
      </x:c>
      <x:c r="C34" s="126" t="str">
        <x:v>https://www.smart-factory.kr/ids/cd/SecondarySideDesignOutletTemperature/1/0</x:v>
      </x:c>
      <x:c r="D34" s="126" t="str">
        <x:v>자체 유지</x:v>
      </x:c>
      <x:c r="E34" s="126" t="str">
        <x:v>0173-1#02-BAI173#007 Inlet temperature (Section 1) / REAL_MEASURE / °C / Service temperature / Measured temperature at the inlet of the object
0173-1#02-BAI172#007 Outlet temperature (Section 1) / REAL_MEASURE / °C / Service temperature / Measured temperature at the outlet of the object
0173-1#02-ABM676#001 Design temperature (Section 1) / REAL_MEASURE / °C / Service temperature / The Temperature of the HE Tube/Coil/Process side designed to withstand under normal operating conditions, ensuring safety and structural integrity.</x:v>
      </x:c>
      <x:c r="F34" s="126" t="str">
        <x:v>실측 1차측 입출구 온도는 채택한다. 목표·허용 편차·접근 온도차·세정온도·2차측 온도는 동일한 측정 대상이 아니다. 설계 안전온도는 입출구 운전 목표값과 구분한다.</x:v>
      </x:c>
    </x:row>
    <x:row r="35" ht="240" customHeight="1">
      <x:c r="A35" s="126" t="str">
        <x:v>TechnicalData/TechnicalPropertyAreas/[3]/PressureSpecifications/PressureDesignAndLossLimits/MaximumAllowablePressureDrop</x:v>
      </x:c>
      <x:c r="B35" s="126" t="str">
        <x:v>xs:double / bar</x:v>
      </x:c>
      <x:c r="C35" s="126" t="str">
        <x:v>https://www.smart-factory.kr/ids/cd/MaximumAllowablePressureDrop/1/0</x:v>
      </x:c>
      <x:c r="D35" s="126" t="str">
        <x:v>자체 유지</x:v>
      </x:c>
      <x:c r="E35" s="126" t="str">
        <x:v>0173-1#02-ABL378#002 Operating pressure (Section 1) / REAL_MEASURE / bar / mechanical tension / pressure which arises in a system part within the operating range
0173-1#02-AAY638#004 pressure drop / REAL_MEASURE / mbar / mechanical tension / permanent loss of pressure over the primary element
0173-1#02-AAY842#004 max. allowable permanent pressure drop / REAL_MEASURE / mbar / mechanical tension / permitted continuing pressure loss in the line, caused by a primary device which has been built in or by line losses</x:v>
      </x:c>
      <x:c r="F35" s="126" t="str">
        <x:v>측별 입구 압력·압력강하·경보/허용 설정을 구분한다. 표준 운전압력은 구간 전체의 압력이며 입구 지정이 없고, 차압 후보는 primary device의 영구 손실(mbar)로 본 장비 양단 압력손실(bar)/경보 설정과 정의·단위가 다르다.</x:v>
      </x:c>
    </x:row>
    <x:row r="36" ht="240" customHeight="1">
      <x:c r="A36" s="126" t="str">
        <x:v>TechnicalData/TechnicalPropertyAreas/[4]/MaterialAndConnectionSpecifications/ConstructionMaterials/GasketMaterial</x:v>
      </x:c>
      <x:c r="B36" s="126" t="str">
        <x:v>xs:string / </x:v>
      </x:c>
      <x:c r="C36" s="126" t="str">
        <x:v>https://www.smart-factory.kr/ids/cd/GasketMaterial/1/0</x:v>
      </x:c>
      <x:c r="D36" s="126" t="str">
        <x:v>자체 유지</x:v>
      </x:c>
      <x:c r="E36" s="126" t="str">
        <x:v>0173-1#02-AAP092#005 Static seal material description (Section 1) / STRING / - / - / Usual name or brand name of the material in general language
0173-1#02-AAP093#005 Static seal material description (Section 2) / STRING / - / - / Usual name or brand name of the material in general language
0173-1#02-AAP262#005 Static seal material (Section 1) / STRING / - / - / A norm-based numbering of the materials. The material is unambiguously described by referring to a norm</x:v>
      </x:c>
      <x:c r="F36" s="126" t="str">
        <x:v>장비 공통 패킹 재질 또는 교환용 패킹 세트이다. 후보는 특정 Section의 고정 씰 재질/규격번호이므로 공통 재질이나 소모품 세트와 범위가 다르다. EPDM을 규격 재질번호라고 주장하지 않는다.</x:v>
      </x:c>
    </x:row>
    <x:row r="37" ht="240" customHeight="1">
      <x:c r="A37" s="126" t="str">
        <x:v>TechnicalData/TechnicalPropertyAreas/[4]/MaterialAndConnectionSpecifications/ConstructionMaterials/FrameMaterial</x:v>
      </x:c>
      <x:c r="B37" s="126" t="str">
        <x:v>xs:string / </x:v>
      </x:c>
      <x:c r="C37" s="126" t="str">
        <x:v>0173-1#02-AAP123#004</x:v>
      </x:c>
      <x:c r="D37" s="126" t="str">
        <x:v>표준 채택</x:v>
      </x:c>
      <x:c r="E37" s="126" t="str">
        <x:v>0173-1#02-AAP123#004 Material description of the frame / STRING / - / - / Usual name or brand name of the material in general language</x:v>
      </x:c>
      <x:c r="F37" s="126" t="str">
        <x:v>정의·자료형·단위가 일치하여 공식 ECLASS 16.0 IRDI를 적용. 공식 영어 정의를 CD에 보존하고 장비 적용범위는 요소 설명에 구분.</x:v>
      </x:c>
    </x:row>
    <x:row r="38" ht="240" customHeight="1">
      <x:c r="A38" s="126" t="str">
        <x:v>TechnicalData/TechnicalPropertyAreas/[4]/MaterialAndConnectionSpecifications/ProcessConnections/ConnectionType</x:v>
      </x:c>
      <x:c r="B38" s="126" t="str">
        <x:v>xs:string / </x:v>
      </x:c>
      <x:c r="C38" s="126" t="str">
        <x:v>0173-1#02-AAH217#005</x:v>
      </x:c>
      <x:c r="D38" s="126" t="str">
        <x:v>표준 채택</x:v>
      </x:c>
      <x:c r="E38" s="126" t="str">
        <x:v>0173-1#02-AAH217#005 connection type / STRING / - / - / information on how a connection is made constructively</x:v>
      </x:c>
      <x:c r="F38" s="126" t="str">
        <x:v>정의·자료형·단위가 일치하여 공식 ECLASS 16.0 IRDI를 적용. 공식 영어 정의를 CD에 보존하고 장비 적용범위는 요소 설명에 구분.</x:v>
      </x:c>
    </x:row>
    <x:row r="39" ht="240" customHeight="1">
      <x:c r="A39" s="126" t="str">
        <x:v>TechnicalData/TechnicalPropertyAreas/[4]/MaterialAndConnectionSpecifications/ProcessConnections/PortSize</x:v>
      </x:c>
      <x:c r="B39" s="126" t="str">
        <x:v>xs:string / </x:v>
      </x:c>
      <x:c r="C39" s="126" t="str">
        <x:v>0173-1#02-AAO331#007</x:v>
      </x:c>
      <x:c r="D39" s="126" t="str">
        <x:v>표준 채택</x:v>
      </x:c>
      <x:c r="E39" s="126" t="str">
        <x:v>0173-1#02-AAO331#007 nominal size/connection size / STRING / - / - / alphanumeric designation of size for components of a pipe work system, which is used for reference purposes</x:v>
      </x:c>
      <x:c r="F39" s="126" t="str">
        <x:v>정의·자료형·단위가 일치하여 공식 ECLASS 16.0 IRDI를 적용. 공식 영어 정의를 CD에 보존하고 장비 적용범위는 요소 설명에 구분.</x:v>
      </x:c>
    </x:row>
    <x:row r="40" ht="240" customHeight="1">
      <x:c r="A40" s="126" t="str">
        <x:v>TechnicalData/TechnicalPropertyAreas/[5]/ElectricalAndSafetySpecifications/ElectricalSupplyAndProtection/PowerSupply</x:v>
      </x:c>
      <x:c r="B40" s="126" t="str">
        <x:v>xs:string / </x:v>
      </x:c>
      <x:c r="C40" s="126" t="str">
        <x:v>https://www.smart-factory.kr/ids/cd/PowerSupply/1/0</x:v>
      </x:c>
      <x:c r="D40" s="126" t="str">
        <x:v>자체 유지</x:v>
      </x:c>
      <x:c r="E40" s="126" t="str">
        <x:v>0173-1#02-AAC970#010 Rated power / REAL_MEASURE / W / active power / value stipulated by the manufacturer for the electrical power for which the operating unit has been designed with due consideration of the specified ambient and operating condition
0173-1#02-AAJ700#005 power consumption / REAL_MEASURE / kW / active power / electrical energy per time unit that an operating unit requires as connected load from the power supply</x:v>
      </x:c>
      <x:c r="F40" s="126" t="str">
        <x:v>RatedPower/Consumption은 계측·제어부 정격 입력으로 채택. PowerSupply는 전압·주파수·허용범위를 합친 문자열이어서 단일 전력량 후보와 다르다.</x:v>
      </x:c>
    </x:row>
    <x:row r="41" ht="240" customHeight="1">
      <x:c r="A41" s="126" t="str">
        <x:v>TechnicalData/TechnicalPropertyAreas/[5]/ElectricalAndSafetySpecifications/ElectricalSupplyAndProtection/RatedPower</x:v>
      </x:c>
      <x:c r="B41" s="126" t="str">
        <x:v>xs:double / kW</x:v>
      </x:c>
      <x:c r="C41" s="126" t="str">
        <x:v>0173-1#02-AAJ700#005</x:v>
      </x:c>
      <x:c r="D41" s="126" t="str">
        <x:v>표준 채택</x:v>
      </x:c>
      <x:c r="E41" s="126" t="str">
        <x:v>0173-1#02-AAJ700#005 power consumption / REAL_MEASURE / kW / active power / electrical energy per time unit that an operating unit requires as connected load from the power supply</x:v>
      </x:c>
      <x:c r="F41" s="126" t="str">
        <x:v>정의·자료형·단위가 일치하여 공식 ECLASS 16.0 IRDI를 적용. 공식 영어 정의를 CD에 보존하고 장비 적용범위는 요소 설명에 구분.</x:v>
      </x:c>
    </x:row>
    <x:row r="42" ht="240" customHeight="1">
      <x:c r="A42" s="126" t="str">
        <x:v>TechnicalData/TechnicalPropertyAreas/[5]/ElectricalAndSafetySpecifications/ElectricalSupplyAndProtection/RatedPowerConsumption</x:v>
      </x:c>
      <x:c r="B42" s="126" t="str">
        <x:v>xs:double / W</x:v>
      </x:c>
      <x:c r="C42" s="126" t="str">
        <x:v>0173-1#02-AAC970#010</x:v>
      </x:c>
      <x:c r="D42" s="126" t="str">
        <x:v>표준 채택</x:v>
      </x:c>
      <x:c r="E42" s="126" t="str">
        <x:v>0173-1#02-AAC970#010 Rated power / REAL_MEASURE / W / active power / value stipulated by the manufacturer for the electrical power for which the operating unit has been designed with due consideration of the specified ambient and operating condition</x:v>
      </x:c>
      <x:c r="F42" s="126" t="str">
        <x:v>정의·자료형·단위가 일치하여 공식 ECLASS 16.0 IRDI를 적용. 공식 영어 정의를 CD에 보존하고 장비 적용범위는 요소 설명에 구분.</x:v>
      </x:c>
    </x:row>
    <x:row r="43" ht="240" customHeight="1">
      <x:c r="A43" s="126" t="str">
        <x:v>TechnicalData/TechnicalPropertyAreas/[5]/ElectricalAndSafetySpecifications/ElectricalSupplyAndProtection/LeakageBreakerCapacity</x:v>
      </x:c>
      <x:c r="B43" s="126" t="str">
        <x:v>xs:double / A</x:v>
      </x:c>
      <x:c r="C43" s="126" t="str">
        <x:v>https://www.smart-factory.kr/ids/cd/LeakageBreakerCapacity/1/0</x:v>
      </x:c>
      <x:c r="D43" s="126" t="str">
        <x:v>자체 유지</x:v>
      </x:c>
      <x:c r="E43" s="126" t="str">
        <x:v>0173-1#02-ABD348#004 residual current AC / REAL_MEASURE / mA / electric current / AC current flowing through the PE terminal of the SPD while energized at the reference test voltage when connected according to the manufacturer’s instructions
0173-1#02-AAG329#006 earth leakage switch present / BOOLEAN / - / - / specification whether the unit is equipped with earth leakage switch</x:v>
      </x:c>
      <x:c r="F43" s="126" t="str">
        <x:v>차단기의 정격 전류(A) 예시이다. SPD의 누설전류(mA) 또는 누전차단기 존재 여부는 정격 전류와 다르다.</x:v>
      </x:c>
    </x:row>
    <x:row r="44" ht="240" customHeight="1">
      <x:c r="A44" s="126" t="str">
        <x:v>TechnicalData/TechnicalPropertyAreas/[5]/ElectricalAndSafetySpecifications/FunctionalSafetyAndGrounding/SupportedSafetyFunctions</x:v>
      </x:c>
      <x:c r="B44" s="126" t="str">
        <x:v>xs:string / </x:v>
      </x:c>
      <x:c r="C44" s="126" t="str">
        <x:v>0173-1#02-AAR796#006</x:v>
      </x:c>
      <x:c r="D44" s="126" t="str">
        <x:v>표준 채택</x:v>
      </x:c>
      <x:c r="E44" s="126" t="str">
        <x:v>0173-1#02-AAR796#006 Safety function / STRING / - / - / type of safety function</x:v>
      </x:c>
      <x:c r="F44" s="126" t="str">
        <x:v>정의·자료형·단위가 일치하여 공식 ECLASS 16.0 IRDI를 적용. 공식 영어 정의를 CD에 보존하고 장비 적용범위는 요소 설명에 구분.</x:v>
      </x:c>
    </x:row>
    <x:row r="45" ht="240" customHeight="1">
      <x:c r="A45" s="126" t="str">
        <x:v>TechnicalData/TechnicalPropertyAreas/[5]/ElectricalAndSafetySpecifications/FunctionalSafetyAndGrounding/OverTemperatureProtectionSupported</x:v>
      </x:c>
      <x:c r="B45" s="126" t="str">
        <x:v>xs:boolean / </x:v>
      </x:c>
      <x:c r="C45" s="126" t="str">
        <x:v>https://www.smart-factory.kr/ids/cd/OverTemperatureProtectionSupported/1/0</x:v>
      </x:c>
      <x:c r="D45" s="126" t="str">
        <x:v>자체 유지</x:v>
      </x:c>
      <x:c r="E45" s="126" t="str">
        <x:v>0173-1#02-AAM214#007 overload-/temperature protection present / BOOLEAN / - / - / information on whether a transformer for ELV lighting systems / ELV halogen lamp features an overload and temperature protection or not
0173-1#02-AAS554#003 Overload-/temperature protection / BOOLEAN / - / - / protection in a case of the exceeding of the specified operating conditions and thermal destruction</x:v>
      </x:c>
      <x:c r="F45" s="126" t="str">
        <x:v>계측·제어부가 과온 보호 기능을 지원하는지의 BOOLEAN이다. 검색한 온도 측정값이나 모터 고유 보호방식을 동일 속성으로 대체하지 않는다.</x:v>
      </x:c>
    </x:row>
    <x:row r="46" ht="240" customHeight="1">
      <x:c r="A46" s="126" t="str">
        <x:v>TechnicalData/TechnicalPropertyAreas/[5]/ElectricalAndSafetySpecifications/FunctionalSafetyAndGrounding/GroundingRequired</x:v>
      </x:c>
      <x:c r="B46" s="126" t="str">
        <x:v>xs:boolean / </x:v>
      </x:c>
      <x:c r="C46" s="126" t="str">
        <x:v>https://www.smart-factory.kr/ids/cd/GroundingRequired/1/0</x:v>
      </x:c>
      <x:c r="D46" s="126" t="str">
        <x:v>자체 유지</x:v>
      </x:c>
      <x:c r="E46" s="126" t="str">
        <x:v>0173-1#02-AAL873#006 grounding connection present / BOOLEAN / - / - / specification whether or whether not the device is equipped a grounding connection</x:v>
      </x:c>
      <x:c r="F46" s="126" t="str">
        <x:v>접지가 필요한지의 설치 요구사항이다. 후보는 접지 연결부가 실제로 존재하는지이므로 요구와 존재를 구별한다.</x:v>
      </x:c>
    </x:row>
    <x:row r="47" ht="240" customHeight="1">
      <x:c r="A47" s="126" t="str">
        <x:v>TechnicalData/SpecificDescriptions/[0]/ExampleScope</x:v>
      </x:c>
      <x:c r="B47" s="126" t="str">
        <x:v>xs:string / </x:v>
      </x:c>
      <x:c r="C47" s="126" t="str">
        <x:v>https://www.smart-factory.kr/ids/cd/ExampleScope/1/0</x:v>
      </x:c>
      <x:c r="D47" s="126" t="str">
        <x:v>자체 유지</x:v>
      </x:c>
      <x:c r="E47" s="126" t="str">
        <x:v>동일 정의가 확인된 후보 없음</x:v>
      </x:c>
      <x:c r="F47" s="126" t="str">
        <x:v>해당 장비의 운전상태 코드, 절차상 요구사항, 매체/소모품 지정 또는 예시 범위 설명이다. 전체 사전에서 idShort 명칭 후보를 검색하되 동일 대상·역할·자료형·단위까지 입증된 후보가 없어 자체 정의를 유지한다. 표준사전에 절대 존재하지 않는다는 주장은 아니다.</x:v>
      </x:c>
    </x:row>
    <x:row r="48" ht="240" customHeight="1">
      <x:c r="A48" s="126" t="str">
        <x:v>OperationalData/PlateHeatExchangerOperationData/OperationStatus/CurrentOperationMode</x:v>
      </x:c>
      <x:c r="B48" s="126" t="str">
        <x:v>xs:string / </x:v>
      </x:c>
      <x:c r="C48" s="126" t="str">
        <x:v>https://www.smart-factory.kr/ids/cd/CurrentOperationMode/1/0</x:v>
      </x:c>
      <x:c r="D48" s="126" t="str">
        <x:v>자체 유지</x:v>
      </x:c>
      <x:c r="E48" s="126" t="str">
        <x:v>0173-1#02-ABC134#005 actual operation mode / STRING / - / - / actual operation mode of the pump</x:v>
      </x:c>
      <x:c r="F48" s="126" t="str">
        <x:v>열교환기 운전 모드이다. 후보 정의가 pump의 실제 운전 모드로 한정되어 있어 펌프가 아닌 열교환기에 강제 적용하지 않는다.</x:v>
      </x:c>
    </x:row>
    <x:row r="49" ht="240" customHeight="1">
      <x:c r="A49" s="126" t="str">
        <x:v>OperationalData/PlateHeatExchangerOperationData/OperationStatus/EquipmentStatus</x:v>
      </x:c>
      <x:c r="B49" s="126" t="str">
        <x:v>xs:string / </x:v>
      </x:c>
      <x:c r="C49" s="126" t="str">
        <x:v>https://www.smart-factory.kr/ids/cd/EquipmentStatus/1/0</x:v>
      </x:c>
      <x:c r="D49" s="126" t="str">
        <x:v>자체 유지</x:v>
      </x:c>
      <x:c r="E49" s="126" t="str">
        <x:v>동일 정의가 확인된 후보 없음</x:v>
      </x:c>
      <x:c r="F49" s="126" t="str">
        <x:v>해당 장비의 운전상태 코드, 절차상 요구사항, 매체/소모품 지정 또는 예시 범위 설명이다. 전체 사전에서 idShort 명칭 후보를 검색하되 동일 대상·역할·자료형·단위까지 입증된 후보가 없어 자체 정의를 유지한다. 표준사전에 절대 존재하지 않는다는 주장은 아니다.</x:v>
      </x:c>
    </x:row>
    <x:row r="50" ht="240" customHeight="1">
      <x:c r="A50" s="126" t="str">
        <x:v>OperationalData/PlateHeatExchangerOperationData/OperationStatus/AlarmStatus</x:v>
      </x:c>
      <x:c r="B50" s="126" t="str">
        <x:v>xs:string / </x:v>
      </x:c>
      <x:c r="C50" s="126" t="str">
        <x:v>https://www.smart-factory.kr/ids/cd/AlarmStatus/1/0</x:v>
      </x:c>
      <x:c r="D50" s="126" t="str">
        <x:v>자체 유지</x:v>
      </x:c>
      <x:c r="E50" s="126" t="str">
        <x:v>동일 정의가 확인된 후보 없음</x:v>
      </x:c>
      <x:c r="F50" s="126" t="str">
        <x:v>해당 장비의 운전상태 코드, 절차상 요구사항, 매체/소모품 지정 또는 예시 범위 설명이다. 전체 사전에서 idShort 명칭 후보를 검색하되 동일 대상·역할·자료형·단위까지 입증된 후보가 없어 자체 정의를 유지한다. 표준사전에 절대 존재하지 않는다는 주장은 아니다.</x:v>
      </x:c>
    </x:row>
    <x:row r="51" ht="240" customHeight="1">
      <x:c r="A51" s="126" t="str">
        <x:v>OperationalData/PlateHeatExchangerOperationData/OperationStatus/LeakageStatus</x:v>
      </x:c>
      <x:c r="B51" s="126" t="str">
        <x:v>xs:string / </x:v>
      </x:c>
      <x:c r="C51" s="126" t="str">
        <x:v>https://www.smart-factory.kr/ids/cd/LeakageStatus/1/0</x:v>
      </x:c>
      <x:c r="D51" s="126" t="str">
        <x:v>자체 유지</x:v>
      </x:c>
      <x:c r="E51" s="126" t="str">
        <x:v>동일 정의가 확인된 후보 없음</x:v>
      </x:c>
      <x:c r="F51" s="126" t="str">
        <x:v>해당 장비의 운전상태 코드, 절차상 요구사항, 매체/소모품 지정 또는 예시 범위 설명이다. 전체 사전에서 idShort 명칭 후보를 검색하되 동일 대상·역할·자료형·단위까지 입증된 후보가 없어 자체 정의를 유지한다. 표준사전에 절대 존재하지 않는다는 주장은 아니다.</x:v>
      </x:c>
    </x:row>
    <x:row r="52" ht="240" customHeight="1">
      <x:c r="A52" s="126" t="str">
        <x:v>OperationalData/PlateHeatExchangerOperationData/OperationStatus/CleaningRequiredStatus</x:v>
      </x:c>
      <x:c r="B52" s="126" t="str">
        <x:v>xs:string / </x:v>
      </x:c>
      <x:c r="C52" s="126" t="str">
        <x:v>https://www.smart-factory.kr/ids/cd/CleaningRequiredStatus/1/0</x:v>
      </x:c>
      <x:c r="D52" s="126" t="str">
        <x:v>자체 유지</x:v>
      </x:c>
      <x:c r="E52" s="126" t="str">
        <x:v>0173-1#02-AAL127#006 wet vacuum cleaning possible / BOOLEAN / - / - / whether tha vacuum cleaning of wet dirt is possible</x:v>
      </x:c>
      <x:c r="F52" s="126" t="str">
        <x:v>CIP 작업 설정·지원 여부·세정 소모품이다. 후보는 젖은 오물의 진공 청소 기능으로 다른 청소 방식이다.</x:v>
      </x:c>
    </x:row>
    <x:row r="53" ht="240" customHeight="1">
      <x:c r="A53" s="126" t="str">
        <x:v>OperationalData/PlateHeatExchangerOperationData/OperationStatus/LastUpdateTime</x:v>
      </x:c>
      <x:c r="B53" s="126" t="str">
        <x:v>xs:dateTime / </x:v>
      </x:c>
      <x:c r="C53" s="126" t="str">
        <x:v>https://www.smart-factory.kr/ids/cd/LastUpdateTime/1/0</x:v>
      </x:c>
      <x:c r="D53" s="126" t="str">
        <x:v>자체 유지</x:v>
      </x:c>
      <x:c r="E53" s="126" t="str">
        <x:v>0173-1#02-ABC627#004 last working time (mileage) / REAL_MEASURE / km / distance / last determined translational distance that a system, sub-system, component or piping has covered during operation
0173-1#02-ABC632#003 last working time (cycles) / REAL_COUNT / - / - / last determined number of shifting cycles to which a system, sub-system, component or piping was subjected during operation to a function</x:v>
      </x:c>
      <x:c r="F53" s="126" t="str">
        <x:v>해당 장비의 운전상태 코드, 절차상 요구사항, 매체/소모품 지정 또는 예시 범위 설명이다. 전체 사전에서 idShort 명칭 후보를 검색하되 동일 대상·역할·자료형·단위까지 입증된 후보가 없어 자체 정의를 유지한다. 표준사전에 절대 존재하지 않는다는 주장은 아니다.</x:v>
      </x:c>
    </x:row>
    <x:row r="54" ht="240" customHeight="1">
      <x:c r="A54" s="126" t="str">
        <x:v>OperationalData/PlateHeatExchangerOperationData/PrimarySideFluidOperationData/PrimarySideWorkingFluid</x:v>
      </x:c>
      <x:c r="B54" s="126" t="str">
        <x:v>xs:string / </x:v>
      </x:c>
      <x:c r="C54" s="126" t="str">
        <x:v>https://www.smart-factory.kr/ids/cd/PrimarySideWorkingFluid/1/0</x:v>
      </x:c>
      <x:c r="D54" s="126" t="str">
        <x:v>자체 유지</x:v>
      </x:c>
      <x:c r="E54" s="126" t="str">
        <x:v>동일 정의가 확인된 후보 없음</x:v>
      </x:c>
      <x:c r="F54" s="126" t="str">
        <x:v>해당 장비의 운전상태 코드, 절차상 요구사항, 매체/소모품 지정 또는 예시 범위 설명이다. 전체 사전에서 idShort 명칭 후보를 검색하되 동일 대상·역할·자료형·단위까지 입증된 후보가 없어 자체 정의를 유지한다. 표준사전에 절대 존재하지 않는다는 주장은 아니다.</x:v>
      </x:c>
    </x:row>
    <x:row r="55" ht="240" customHeight="1">
      <x:c r="A55" s="126" t="str">
        <x:v>OperationalData/PlateHeatExchangerOperationData/PrimarySideFluidOperationData/TargetPrimaryFlowRate</x:v>
      </x:c>
      <x:c r="B55" s="126" t="str">
        <x:v>xs:double / m³/h</x:v>
      </x:c>
      <x:c r="C55" s="126" t="str">
        <x:v>https://www.smart-factory.kr/ids/cd/TargetPrimaryFlowRate/1/0</x:v>
      </x:c>
      <x:c r="D55" s="126" t="str">
        <x:v>자체 유지</x:v>
      </x:c>
      <x:c r="E55" s="126" t="str">
        <x:v>0173-1#02-AAI965#006 volume flow, heat side / REAL_MEASURE / m³/h / volume flow rate or volume velocity / indication of the heater sided volume flow, ie the volume of fluid that flows per hour through a pipe
0173-1#02-AAI966#006 volume flow, heat source side / REAL_MEASURE / m³/h / volume flow rate or volume velocity / indication of the heat source sided volume flow, ie the volume of fluid that flows per hour through a pipe
0173-1#02-ABL382#002 Max flow rate (Section 1) / REAL_MEASURE / kg/s / mass flow rate / Maximum quantity of material which pass through the operating resource in a prescribed period of time</x:v>
      </x:c>
      <x:c r="F55" s="126" t="str">
        <x:v>설계·목표·현재·세정의 역할과 1/2차측을 지정한 체적유량이다. 최대 질량유량은 kg/s로 물리량이 다르며 가열측/열원측 명칭만으로 본 모델의 측정 위치·설정 역할을 확정하지 않는다.</x:v>
      </x:c>
    </x:row>
    <x:row r="56" ht="240" customHeight="1">
      <x:c r="A56" s="126" t="str">
        <x:v>OperationalData/PlateHeatExchangerOperationData/PrimarySideFluidOperationData/CurrentPrimaryFlowRate</x:v>
      </x:c>
      <x:c r="B56" s="126" t="str">
        <x:v>xs:double / m³/h</x:v>
      </x:c>
      <x:c r="C56" s="126" t="str">
        <x:v>https://www.smart-factory.kr/ids/cd/CurrentPrimaryFlowRate/1/0</x:v>
      </x:c>
      <x:c r="D56" s="126" t="str">
        <x:v>자체 유지</x:v>
      </x:c>
      <x:c r="E56" s="126" t="str">
        <x:v>0173-1#02-AAI965#006 volume flow, heat side / REAL_MEASURE / m³/h / volume flow rate or volume velocity / indication of the heater sided volume flow, ie the volume of fluid that flows per hour through a pipe
0173-1#02-AAI966#006 volume flow, heat source side / REAL_MEASURE / m³/h / volume flow rate or volume velocity / indication of the heat source sided volume flow, ie the volume of fluid that flows per hour through a pipe
0173-1#02-ABL382#002 Max flow rate (Section 1) / REAL_MEASURE / kg/s / mass flow rate / Maximum quantity of material which pass through the operating resource in a prescribed period of time</x:v>
      </x:c>
      <x:c r="F56" s="126" t="str">
        <x:v>설계·목표·현재·세정의 역할과 1/2차측을 지정한 체적유량이다. 최대 질량유량은 kg/s로 물리량이 다르며 가열측/열원측 명칭만으로 본 모델의 측정 위치·설정 역할을 확정하지 않는다.</x:v>
      </x:c>
    </x:row>
    <x:row r="57" ht="240" customHeight="1">
      <x:c r="A57" s="126" t="str">
        <x:v>OperationalData/PlateHeatExchangerOperationData/PrimarySideFluidOperationData/TargetPrimaryInletTemperature</x:v>
      </x:c>
      <x:c r="B57" s="126" t="str">
        <x:v>xs:double / °C</x:v>
      </x:c>
      <x:c r="C57" s="126" t="str">
        <x:v>https://www.smart-factory.kr/ids/cd/TargetPrimaryInletTemperature/1/0</x:v>
      </x:c>
      <x:c r="D57" s="126" t="str">
        <x:v>자체 유지</x:v>
      </x:c>
      <x:c r="E57" s="126" t="str">
        <x:v>0173-1#02-BAI173#007 Inlet temperature (Section 1) / REAL_MEASURE / °C / Service temperature / Measured temperature at the inlet of the object
0173-1#02-BAI172#007 Outlet temperature (Section 1) / REAL_MEASURE / °C / Service temperature / Measured temperature at the outlet of the object
0173-1#02-ABM676#001 Design temperature (Section 1) / REAL_MEASURE / °C / Service temperature / The Temperature of the HE Tube/Coil/Process side designed to withstand under normal operating conditions, ensuring safety and structural integrity.</x:v>
      </x:c>
      <x:c r="F57" s="126" t="str">
        <x:v>실측 1차측 입출구 온도는 채택한다. 목표·허용 편차·접근 온도차·세정온도·2차측 온도는 동일한 측정 대상이 아니다. 설계 안전온도는 입출구 운전 목표값과 구분한다.</x:v>
      </x:c>
    </x:row>
    <x:row r="58" ht="240" customHeight="1">
      <x:c r="A58" s="126" t="str">
        <x:v>OperationalData/PlateHeatExchangerOperationData/PrimarySideFluidOperationData/CurrentPrimaryInletTemperature</x:v>
      </x:c>
      <x:c r="B58" s="126" t="str">
        <x:v>xs:double / °C</x:v>
      </x:c>
      <x:c r="C58" s="126" t="str">
        <x:v>0173-1#02-BAI173#007</x:v>
      </x:c>
      <x:c r="D58" s="126" t="str">
        <x:v>표준 채택</x:v>
      </x:c>
      <x:c r="E58" s="126" t="str">
        <x:v>0173-1#02-BAI173#007 Inlet temperature (Section 1) / REAL_MEASURE / °C / Service temperature / Measured temperature at the inlet of the object</x:v>
      </x:c>
      <x:c r="F58" s="126" t="str">
        <x:v>정의·자료형·단위가 일치하여 공식 ECLASS 16.0 IRDI를 적용. 공식 영어 정의를 CD에 보존하고 장비 적용범위는 요소 설명에 구분.</x:v>
      </x:c>
    </x:row>
    <x:row r="59" ht="240" customHeight="1">
      <x:c r="A59" s="126" t="str">
        <x:v>OperationalData/PlateHeatExchangerOperationData/PrimarySideFluidOperationData/TargetPrimaryOutletTemperature</x:v>
      </x:c>
      <x:c r="B59" s="126" t="str">
        <x:v>xs:double / °C</x:v>
      </x:c>
      <x:c r="C59" s="126" t="str">
        <x:v>https://www.smart-factory.kr/ids/cd/TargetPrimaryOutletTemperature/1/0</x:v>
      </x:c>
      <x:c r="D59" s="126" t="str">
        <x:v>자체 유지</x:v>
      </x:c>
      <x:c r="E59" s="126" t="str">
        <x:v>0173-1#02-BAI173#007 Inlet temperature (Section 1) / REAL_MEASURE / °C / Service temperature / Measured temperature at the inlet of the object
0173-1#02-BAI172#007 Outlet temperature (Section 1) / REAL_MEASURE / °C / Service temperature / Measured temperature at the outlet of the object
0173-1#02-ABM676#001 Design temperature (Section 1) / REAL_MEASURE / °C / Service temperature / The Temperature of the HE Tube/Coil/Process side designed to withstand under normal operating conditions, ensuring safety and structural integrity.</x:v>
      </x:c>
      <x:c r="F59" s="126" t="str">
        <x:v>실측 1차측 입출구 온도는 채택한다. 목표·허용 편차·접근 온도차·세정온도·2차측 온도는 동일한 측정 대상이 아니다. 설계 안전온도는 입출구 운전 목표값과 구분한다.</x:v>
      </x:c>
    </x:row>
    <x:row r="60" ht="240" customHeight="1">
      <x:c r="A60" s="126" t="str">
        <x:v>OperationalData/PlateHeatExchangerOperationData/PrimarySideFluidOperationData/CurrentPrimaryOutletTemperature</x:v>
      </x:c>
      <x:c r="B60" s="126" t="str">
        <x:v>xs:double / °C</x:v>
      </x:c>
      <x:c r="C60" s="126" t="str">
        <x:v>0173-1#02-BAI172#007</x:v>
      </x:c>
      <x:c r="D60" s="126" t="str">
        <x:v>표준 채택</x:v>
      </x:c>
      <x:c r="E60" s="126" t="str">
        <x:v>0173-1#02-BAI172#007 Outlet temperature (Section 1) / REAL_MEASURE / °C / Service temperature / Measured temperature at the outlet of the object</x:v>
      </x:c>
      <x:c r="F60" s="126" t="str">
        <x:v>정의·자료형·단위가 일치하여 공식 ECLASS 16.0 IRDI를 적용. 공식 영어 정의를 CD에 보존하고 장비 적용범위는 요소 설명에 구분.</x:v>
      </x:c>
    </x:row>
    <x:row r="61" ht="240" customHeight="1">
      <x:c r="A61" s="126" t="str">
        <x:v>OperationalData/PlateHeatExchangerOperationData/PrimarySideFluidOperationData/TargetPrimaryInletPressure</x:v>
      </x:c>
      <x:c r="B61" s="126" t="str">
        <x:v>xs:double / bar</x:v>
      </x:c>
      <x:c r="C61" s="126" t="str">
        <x:v>https://www.smart-factory.kr/ids/cd/TargetPrimaryInletPressure/1/0</x:v>
      </x:c>
      <x:c r="D61" s="126" t="str">
        <x:v>자체 유지</x:v>
      </x:c>
      <x:c r="E61" s="126" t="str">
        <x:v>0173-1#02-ABL378#002 Operating pressure (Section 1) / REAL_MEASURE / bar / mechanical tension / pressure which arises in a system part within the operating range
0173-1#02-AAY638#004 pressure drop / REAL_MEASURE / mbar / mechanical tension / permanent loss of pressure over the primary element
0173-1#02-AAY842#004 max. allowable permanent pressure drop / REAL_MEASURE / mbar / mechanical tension / permitted continuing pressure loss in the line, caused by a primary device which has been built in or by line losses</x:v>
      </x:c>
      <x:c r="F61" s="126" t="str">
        <x:v>측별 입구 압력·압력강하·경보/허용 설정을 구분한다. 표준 운전압력은 구간 전체의 압력이며 입구 지정이 없고, 차압 후보는 primary device의 영구 손실(mbar)로 본 장비 양단 압력손실(bar)/경보 설정과 정의·단위가 다르다.</x:v>
      </x:c>
    </x:row>
    <x:row r="62" ht="240" customHeight="1">
      <x:c r="A62" s="126" t="str">
        <x:v>OperationalData/PlateHeatExchangerOperationData/PrimarySideFluidOperationData/CurrentPrimaryInletPressure</x:v>
      </x:c>
      <x:c r="B62" s="126" t="str">
        <x:v>xs:double / bar</x:v>
      </x:c>
      <x:c r="C62" s="126" t="str">
        <x:v>https://www.smart-factory.kr/ids/cd/CurrentPrimaryInletPressure/1/0</x:v>
      </x:c>
      <x:c r="D62" s="126" t="str">
        <x:v>자체 유지</x:v>
      </x:c>
      <x:c r="E62" s="126" t="str">
        <x:v>0173-1#02-ABL378#002 Operating pressure (Section 1) / REAL_MEASURE / bar / mechanical tension / pressure which arises in a system part within the operating range
0173-1#02-AAY638#004 pressure drop / REAL_MEASURE / mbar / mechanical tension / permanent loss of pressure over the primary element
0173-1#02-AAY842#004 max. allowable permanent pressure drop / REAL_MEASURE / mbar / mechanical tension / permitted continuing pressure loss in the line, caused by a primary device which has been built in or by line losses</x:v>
      </x:c>
      <x:c r="F62" s="126" t="str">
        <x:v>측별 입구 압력·압력강하·경보/허용 설정을 구분한다. 표준 운전압력은 구간 전체의 압력이며 입구 지정이 없고, 차압 후보는 primary device의 영구 손실(mbar)로 본 장비 양단 압력손실(bar)/경보 설정과 정의·단위가 다르다.</x:v>
      </x:c>
    </x:row>
    <x:row r="63" ht="240" customHeight="1">
      <x:c r="A63" s="126" t="str">
        <x:v>OperationalData/PlateHeatExchangerOperationData/PrimarySideFluidOperationData/CurrentPrimaryPressureDrop</x:v>
      </x:c>
      <x:c r="B63" s="126" t="str">
        <x:v>xs:double / bar</x:v>
      </x:c>
      <x:c r="C63" s="126" t="str">
        <x:v>https://www.smart-factory.kr/ids/cd/CurrentPrimaryPressureDrop/1/0</x:v>
      </x:c>
      <x:c r="D63" s="126" t="str">
        <x:v>자체 유지</x:v>
      </x:c>
      <x:c r="E63" s="126" t="str">
        <x:v>0173-1#02-ABL378#002 Operating pressure (Section 1) / REAL_MEASURE / bar / mechanical tension / pressure which arises in a system part within the operating range
0173-1#02-AAY638#004 pressure drop / REAL_MEASURE / mbar / mechanical tension / permanent loss of pressure over the primary element
0173-1#02-AAY842#004 max. allowable permanent pressure drop / REAL_MEASURE / mbar / mechanical tension / permitted continuing pressure loss in the line, caused by a primary device which has been built in or by line losses</x:v>
      </x:c>
      <x:c r="F63" s="126" t="str">
        <x:v>측별 입구 압력·압력강하·경보/허용 설정을 구분한다. 표준 운전압력은 구간 전체의 압력이며 입구 지정이 없고, 차압 후보는 primary device의 영구 손실(mbar)로 본 장비 양단 압력손실(bar)/경보 설정과 정의·단위가 다르다.</x:v>
      </x:c>
    </x:row>
    <x:row r="64" ht="240" customHeight="1">
      <x:c r="A64" s="126" t="str">
        <x:v>OperationalData/PlateHeatExchangerOperationData/SecondarySideFluidOperationData/SecondarySideWorkingFluid</x:v>
      </x:c>
      <x:c r="B64" s="126" t="str">
        <x:v>xs:string / </x:v>
      </x:c>
      <x:c r="C64" s="126" t="str">
        <x:v>https://www.smart-factory.kr/ids/cd/SecondarySideWorkingFluid/1/0</x:v>
      </x:c>
      <x:c r="D64" s="126" t="str">
        <x:v>자체 유지</x:v>
      </x:c>
      <x:c r="E64" s="126" t="str">
        <x:v>동일 정의가 확인된 후보 없음</x:v>
      </x:c>
      <x:c r="F64" s="126" t="str">
        <x:v>해당 장비의 운전상태 코드, 절차상 요구사항, 매체/소모품 지정 또는 예시 범위 설명이다. 전체 사전에서 idShort 명칭 후보를 검색하되 동일 대상·역할·자료형·단위까지 입증된 후보가 없어 자체 정의를 유지한다. 표준사전에 절대 존재하지 않는다는 주장은 아니다.</x:v>
      </x:c>
    </x:row>
    <x:row r="65" ht="240" customHeight="1">
      <x:c r="A65" s="126" t="str">
        <x:v>OperationalData/PlateHeatExchangerOperationData/SecondarySideFluidOperationData/TargetSecondaryFlowRate</x:v>
      </x:c>
      <x:c r="B65" s="126" t="str">
        <x:v>xs:double / m³/h</x:v>
      </x:c>
      <x:c r="C65" s="126" t="str">
        <x:v>https://www.smart-factory.kr/ids/cd/TargetSecondaryFlowRate/1/0</x:v>
      </x:c>
      <x:c r="D65" s="126" t="str">
        <x:v>자체 유지</x:v>
      </x:c>
      <x:c r="E65" s="126" t="str">
        <x:v>0173-1#02-AAI965#006 volume flow, heat side / REAL_MEASURE / m³/h / volume flow rate or volume velocity / indication of the heater sided volume flow, ie the volume of fluid that flows per hour through a pipe
0173-1#02-AAI966#006 volume flow, heat source side / REAL_MEASURE / m³/h / volume flow rate or volume velocity / indication of the heat source sided volume flow, ie the volume of fluid that flows per hour through a pipe
0173-1#02-ABL382#002 Max flow rate (Section 1) / REAL_MEASURE / kg/s / mass flow rate / Maximum quantity of material which pass through the operating resource in a prescribed period of time</x:v>
      </x:c>
      <x:c r="F65" s="126" t="str">
        <x:v>설계·목표·현재·세정의 역할과 1/2차측을 지정한 체적유량이다. 최대 질량유량은 kg/s로 물리량이 다르며 가열측/열원측 명칭만으로 본 모델의 측정 위치·설정 역할을 확정하지 않는다.</x:v>
      </x:c>
    </x:row>
    <x:row r="66" ht="240" customHeight="1">
      <x:c r="A66" s="126" t="str">
        <x:v>OperationalData/PlateHeatExchangerOperationData/SecondarySideFluidOperationData/CurrentSecondaryFlowRate</x:v>
      </x:c>
      <x:c r="B66" s="126" t="str">
        <x:v>xs:double / m³/h</x:v>
      </x:c>
      <x:c r="C66" s="126" t="str">
        <x:v>https://www.smart-factory.kr/ids/cd/CurrentSecondaryFlowRate/1/0</x:v>
      </x:c>
      <x:c r="D66" s="126" t="str">
        <x:v>자체 유지</x:v>
      </x:c>
      <x:c r="E66" s="126" t="str">
        <x:v>0173-1#02-AAI965#006 volume flow, heat side / REAL_MEASURE / m³/h / volume flow rate or volume velocity / indication of the heater sided volume flow, ie the volume of fluid that flows per hour through a pipe
0173-1#02-AAI966#006 volume flow, heat source side / REAL_MEASURE / m³/h / volume flow rate or volume velocity / indication of the heat source sided volume flow, ie the volume of fluid that flows per hour through a pipe
0173-1#02-ABL382#002 Max flow rate (Section 1) / REAL_MEASURE / kg/s / mass flow rate / Maximum quantity of material which pass through the operating resource in a prescribed period of time</x:v>
      </x:c>
      <x:c r="F66" s="126" t="str">
        <x:v>설계·목표·현재·세정의 역할과 1/2차측을 지정한 체적유량이다. 최대 질량유량은 kg/s로 물리량이 다르며 가열측/열원측 명칭만으로 본 모델의 측정 위치·설정 역할을 확정하지 않는다.</x:v>
      </x:c>
    </x:row>
    <x:row r="67" ht="240" customHeight="1">
      <x:c r="A67" s="126" t="str">
        <x:v>OperationalData/PlateHeatExchangerOperationData/SecondarySideFluidOperationData/TargetSecondaryInletTemperature</x:v>
      </x:c>
      <x:c r="B67" s="126" t="str">
        <x:v>xs:double / °C</x:v>
      </x:c>
      <x:c r="C67" s="126" t="str">
        <x:v>https://www.smart-factory.kr/ids/cd/TargetSecondaryInletTemperature/1/0</x:v>
      </x:c>
      <x:c r="D67" s="126" t="str">
        <x:v>자체 유지</x:v>
      </x:c>
      <x:c r="E67" s="126" t="str">
        <x:v>0173-1#02-BAI173#007 Inlet temperature (Section 1) / REAL_MEASURE / °C / Service temperature / Measured temperature at the inlet of the object
0173-1#02-BAI172#007 Outlet temperature (Section 1) / REAL_MEASURE / °C / Service temperature / Measured temperature at the outlet of the object
0173-1#02-ABM676#001 Design temperature (Section 1) / REAL_MEASURE / °C / Service temperature / The Temperature of the HE Tube/Coil/Process side designed to withstand under normal operating conditions, ensuring safety and structural integrity.</x:v>
      </x:c>
      <x:c r="F67" s="126" t="str">
        <x:v>실측 1차측 입출구 온도는 채택한다. 목표·허용 편차·접근 온도차·세정온도·2차측 온도는 동일한 측정 대상이 아니다. 설계 안전온도는 입출구 운전 목표값과 구분한다.</x:v>
      </x:c>
    </x:row>
    <x:row r="68" ht="240" customHeight="1">
      <x:c r="A68" s="126" t="str">
        <x:v>OperationalData/PlateHeatExchangerOperationData/SecondarySideFluidOperationData/CurrentSecondaryInletTemperature</x:v>
      </x:c>
      <x:c r="B68" s="126" t="str">
        <x:v>xs:double / °C</x:v>
      </x:c>
      <x:c r="C68" s="126" t="str">
        <x:v>https://www.smart-factory.kr/ids/cd/CurrentSecondaryInletTemperature/1/0</x:v>
      </x:c>
      <x:c r="D68" s="126" t="str">
        <x:v>자체 유지</x:v>
      </x:c>
      <x:c r="E68" s="126" t="str">
        <x:v>0173-1#02-BAI173#007 Inlet temperature (Section 1) / REAL_MEASURE / °C / Service temperature / Measured temperature at the inlet of the object
0173-1#02-BAI172#007 Outlet temperature (Section 1) / REAL_MEASURE / °C / Service temperature / Measured temperature at the outlet of the object
0173-1#02-ABM676#001 Design temperature (Section 1) / REAL_MEASURE / °C / Service temperature / The Temperature of the HE Tube/Coil/Process side designed to withstand under normal operating conditions, ensuring safety and structural integrity.</x:v>
      </x:c>
      <x:c r="F68" s="126" t="str">
        <x:v>실측 1차측 입출구 온도는 채택한다. 목표·허용 편차·접근 온도차·세정온도·2차측 온도는 동일한 측정 대상이 아니다. 설계 안전온도는 입출구 운전 목표값과 구분한다.</x:v>
      </x:c>
    </x:row>
    <x:row r="69" ht="240" customHeight="1">
      <x:c r="A69" s="126" t="str">
        <x:v>OperationalData/PlateHeatExchangerOperationData/SecondarySideFluidOperationData/TargetSecondaryOutletTemperature</x:v>
      </x:c>
      <x:c r="B69" s="126" t="str">
        <x:v>xs:double / °C</x:v>
      </x:c>
      <x:c r="C69" s="126" t="str">
        <x:v>https://www.smart-factory.kr/ids/cd/TargetSecondaryOutletTemperature/1/0</x:v>
      </x:c>
      <x:c r="D69" s="126" t="str">
        <x:v>자체 유지</x:v>
      </x:c>
      <x:c r="E69" s="126" t="str">
        <x:v>0173-1#02-BAI173#007 Inlet temperature (Section 1) / REAL_MEASURE / °C / Service temperature / Measured temperature at the inlet of the object
0173-1#02-BAI172#007 Outlet temperature (Section 1) / REAL_MEASURE / °C / Service temperature / Measured temperature at the outlet of the object
0173-1#02-ABM676#001 Design temperature (Section 1) / REAL_MEASURE / °C / Service temperature / The Temperature of the HE Tube/Coil/Process side designed to withstand under normal operating conditions, ensuring safety and structural integrity.</x:v>
      </x:c>
      <x:c r="F69" s="126" t="str">
        <x:v>실측 1차측 입출구 온도는 채택한다. 목표·허용 편차·접근 온도차·세정온도·2차측 온도는 동일한 측정 대상이 아니다. 설계 안전온도는 입출구 운전 목표값과 구분한다.</x:v>
      </x:c>
    </x:row>
    <x:row r="70" ht="240" customHeight="1">
      <x:c r="A70" s="126" t="str">
        <x:v>OperationalData/PlateHeatExchangerOperationData/SecondarySideFluidOperationData/CurrentSecondaryOutletTemperature</x:v>
      </x:c>
      <x:c r="B70" s="126" t="str">
        <x:v>xs:double / °C</x:v>
      </x:c>
      <x:c r="C70" s="126" t="str">
        <x:v>https://www.smart-factory.kr/ids/cd/CurrentSecondaryOutletTemperature/1/0</x:v>
      </x:c>
      <x:c r="D70" s="126" t="str">
        <x:v>자체 유지</x:v>
      </x:c>
      <x:c r="E70" s="126" t="str">
        <x:v>0173-1#02-BAI173#007 Inlet temperature (Section 1) / REAL_MEASURE / °C / Service temperature / Measured temperature at the inlet of the object
0173-1#02-BAI172#007 Outlet temperature (Section 1) / REAL_MEASURE / °C / Service temperature / Measured temperature at the outlet of the object
0173-1#02-ABM676#001 Design temperature (Section 1) / REAL_MEASURE / °C / Service temperature / The Temperature of the HE Tube/Coil/Process side designed to withstand under normal operating conditions, ensuring safety and structural integrity.</x:v>
      </x:c>
      <x:c r="F70" s="126" t="str">
        <x:v>실측 1차측 입출구 온도는 채택한다. 목표·허용 편차·접근 온도차·세정온도·2차측 온도는 동일한 측정 대상이 아니다. 설계 안전온도는 입출구 운전 목표값과 구분한다.</x:v>
      </x:c>
    </x:row>
    <x:row r="71" ht="240" customHeight="1">
      <x:c r="A71" s="126" t="str">
        <x:v>OperationalData/PlateHeatExchangerOperationData/SecondarySideFluidOperationData/TargetSecondaryInletPressure</x:v>
      </x:c>
      <x:c r="B71" s="126" t="str">
        <x:v>xs:double / bar</x:v>
      </x:c>
      <x:c r="C71" s="126" t="str">
        <x:v>https://www.smart-factory.kr/ids/cd/TargetSecondaryInletPressure/1/0</x:v>
      </x:c>
      <x:c r="D71" s="126" t="str">
        <x:v>자체 유지</x:v>
      </x:c>
      <x:c r="E71" s="126" t="str">
        <x:v>0173-1#02-ABL378#002 Operating pressure (Section 1) / REAL_MEASURE / bar / mechanical tension / pressure which arises in a system part within the operating range
0173-1#02-AAY638#004 pressure drop / REAL_MEASURE / mbar / mechanical tension / permanent loss of pressure over the primary element
0173-1#02-AAY842#004 max. allowable permanent pressure drop / REAL_MEASURE / mbar / mechanical tension / permitted continuing pressure loss in the line, caused by a primary device which has been built in or by line losses</x:v>
      </x:c>
      <x:c r="F71" s="126" t="str">
        <x:v>측별 입구 압력·압력강하·경보/허용 설정을 구분한다. 표준 운전압력은 구간 전체의 압력이며 입구 지정이 없고, 차압 후보는 primary device의 영구 손실(mbar)로 본 장비 양단 압력손실(bar)/경보 설정과 정의·단위가 다르다.</x:v>
      </x:c>
    </x:row>
    <x:row r="72" ht="240" customHeight="1">
      <x:c r="A72" s="126" t="str">
        <x:v>OperationalData/PlateHeatExchangerOperationData/SecondarySideFluidOperationData/CurrentSecondaryInletPressure</x:v>
      </x:c>
      <x:c r="B72" s="126" t="str">
        <x:v>xs:double / bar</x:v>
      </x:c>
      <x:c r="C72" s="126" t="str">
        <x:v>https://www.smart-factory.kr/ids/cd/CurrentSecondaryInletPressure/1/0</x:v>
      </x:c>
      <x:c r="D72" s="126" t="str">
        <x:v>자체 유지</x:v>
      </x:c>
      <x:c r="E72" s="126" t="str">
        <x:v>0173-1#02-ABL378#002 Operating pressure (Section 1) / REAL_MEASURE / bar / mechanical tension / pressure which arises in a system part within the operating range
0173-1#02-AAY638#004 pressure drop / REAL_MEASURE / mbar / mechanical tension / permanent loss of pressure over the primary element
0173-1#02-AAY842#004 max. allowable permanent pressure drop / REAL_MEASURE / mbar / mechanical tension / permitted continuing pressure loss in the line, caused by a primary device which has been built in or by line losses</x:v>
      </x:c>
      <x:c r="F72" s="126" t="str">
        <x:v>측별 입구 압력·압력강하·경보/허용 설정을 구분한다. 표준 운전압력은 구간 전체의 압력이며 입구 지정이 없고, 차압 후보는 primary device의 영구 손실(mbar)로 본 장비 양단 압력손실(bar)/경보 설정과 정의·단위가 다르다.</x:v>
      </x:c>
    </x:row>
    <x:row r="73" ht="240" customHeight="1">
      <x:c r="A73" s="126" t="str">
        <x:v>OperationalData/PlateHeatExchangerOperationData/SecondarySideFluidOperationData/CurrentSecondaryPressureDrop</x:v>
      </x:c>
      <x:c r="B73" s="126" t="str">
        <x:v>xs:double / bar</x:v>
      </x:c>
      <x:c r="C73" s="126" t="str">
        <x:v>https://www.smart-factory.kr/ids/cd/CurrentSecondaryPressureDrop/1/0</x:v>
      </x:c>
      <x:c r="D73" s="126" t="str">
        <x:v>자체 유지</x:v>
      </x:c>
      <x:c r="E73" s="126" t="str">
        <x:v>0173-1#02-ABL378#002 Operating pressure (Section 1) / REAL_MEASURE / bar / mechanical tension / pressure which arises in a system part within the operating range
0173-1#02-AAY638#004 pressure drop / REAL_MEASURE / mbar / mechanical tension / permanent loss of pressure over the primary element
0173-1#02-AAY842#004 max. allowable permanent pressure drop / REAL_MEASURE / mbar / mechanical tension / permitted continuing pressure loss in the line, caused by a primary device which has been built in or by line losses</x:v>
      </x:c>
      <x:c r="F73" s="126" t="str">
        <x:v>측별 입구 압력·압력강하·경보/허용 설정을 구분한다. 표준 운전압력은 구간 전체의 압력이며 입구 지정이 없고, 차압 후보는 primary device의 영구 손실(mbar)로 본 장비 양단 압력손실(bar)/경보 설정과 정의·단위가 다르다.</x:v>
      </x:c>
    </x:row>
    <x:row r="74" ht="240" customHeight="1">
      <x:c r="A74" s="126" t="str">
        <x:v>OperationalData/PlateHeatExchangerOperationData/ThermalPerformanceOperationData/TargetHeatDuty</x:v>
      </x:c>
      <x:c r="B74" s="126" t="str">
        <x:v>xs:double / kW</x:v>
      </x:c>
      <x:c r="C74" s="126" t="str">
        <x:v>https://www.smart-factory.kr/ids/cd/TargetHeatDuty/1/0</x:v>
      </x:c>
      <x:c r="D74" s="126" t="str">
        <x:v>자체 유지</x:v>
      </x:c>
      <x:c r="E74" s="126" t="str">
        <x:v>0173-1#02-BAI259#008 Heat transfer surface area (Section 1/Section 2) / REAL_MEASURE / m² / surface / Size of a surface design for thermal transfer
0173-1#02-AAC970#010 Rated power / REAL_MEASURE / W / active power / value stipulated by the manufacturer for the electrical power for which the operating unit has been designed with due consideration of the specified ambient and operating condition</x:v>
      </x:c>
      <x:c r="F74" s="126" t="str">
        <x:v>열부하·열교환 유용도 및 요구/목표값이다. 전열면적(m²)이나 정격 전기입력(W)은 물리량·단위가 달라 대체하지 않는다.</x:v>
      </x:c>
    </x:row>
    <x:row r="75" ht="240" customHeight="1">
      <x:c r="A75" s="126" t="str">
        <x:v>OperationalData/PlateHeatExchangerOperationData/ThermalPerformanceOperationData/CurrentHeatDuty</x:v>
      </x:c>
      <x:c r="B75" s="126" t="str">
        <x:v>xs:double / kW</x:v>
      </x:c>
      <x:c r="C75" s="126" t="str">
        <x:v>https://www.smart-factory.kr/ids/cd/CurrentHeatDuty/1/0</x:v>
      </x:c>
      <x:c r="D75" s="126" t="str">
        <x:v>자체 유지</x:v>
      </x:c>
      <x:c r="E75" s="126" t="str">
        <x:v>0173-1#02-BAI259#008 Heat transfer surface area (Section 1/Section 2) / REAL_MEASURE / m² / surface / Size of a surface design for thermal transfer
0173-1#02-AAC970#010 Rated power / REAL_MEASURE / W / active power / value stipulated by the manufacturer for the electrical power for which the operating unit has been designed with due consideration of the specified ambient and operating condition</x:v>
      </x:c>
      <x:c r="F75" s="126" t="str">
        <x:v>열부하·열교환 유용도 및 요구/목표값이다. 전열면적(m²)이나 정격 전기입력(W)은 물리량·단위가 달라 대체하지 않는다.</x:v>
      </x:c>
    </x:row>
    <x:row r="76" ht="240" customHeight="1">
      <x:c r="A76" s="126" t="str">
        <x:v>OperationalData/PlateHeatExchangerOperationData/ThermalPerformanceOperationData/TargetHeatTransferEfficiency</x:v>
      </x:c>
      <x:c r="B76" s="126" t="str">
        <x:v>xs:double / %</x:v>
      </x:c>
      <x:c r="C76" s="126" t="str">
        <x:v>https://www.smart-factory.kr/ids/cd/TargetHeatTransferEfficiency/1/0</x:v>
      </x:c>
      <x:c r="D76" s="126" t="str">
        <x:v>자체 유지</x:v>
      </x:c>
      <x:c r="E76" s="126" t="str">
        <x:v>0173-1#02-BAI259#008 Heat transfer surface area (Section 1/Section 2) / REAL_MEASURE / m² / surface / Size of a surface design for thermal transfer
0173-1#02-AAC970#010 Rated power / REAL_MEASURE / W / active power / value stipulated by the manufacturer for the electrical power for which the operating unit has been designed with due consideration of the specified ambient and operating condition</x:v>
      </x:c>
      <x:c r="F76" s="126" t="str">
        <x:v>열부하·열교환 유용도 및 요구/목표값이다. 전열면적(m²)이나 정격 전기입력(W)은 물리량·단위가 달라 대체하지 않는다.</x:v>
      </x:c>
    </x:row>
    <x:row r="77" ht="240" customHeight="1">
      <x:c r="A77" s="126" t="str">
        <x:v>OperationalData/PlateHeatExchangerOperationData/ThermalPerformanceOperationData/CurrentHeatTransferEfficiency</x:v>
      </x:c>
      <x:c r="B77" s="126" t="str">
        <x:v>xs:double / %</x:v>
      </x:c>
      <x:c r="C77" s="126" t="str">
        <x:v>https://www.smart-factory.kr/ids/cd/CurrentHeatTransferEfficiency/1/0</x:v>
      </x:c>
      <x:c r="D77" s="126" t="str">
        <x:v>자체 유지</x:v>
      </x:c>
      <x:c r="E77" s="126" t="str">
        <x:v>0173-1#02-BAI259#008 Heat transfer surface area (Section 1/Section 2) / REAL_MEASURE / m² / surface / Size of a surface design for thermal transfer
0173-1#02-AAC970#010 Rated power / REAL_MEASURE / W / active power / value stipulated by the manufacturer for the electrical power for which the operating unit has been designed with due consideration of the specified ambient and operating condition</x:v>
      </x:c>
      <x:c r="F77" s="126" t="str">
        <x:v>열부하·열교환 유용도 및 요구/목표값이다. 전열면적(m²)이나 정격 전기입력(W)은 물리량·단위가 달라 대체하지 않는다.</x:v>
      </x:c>
    </x:row>
    <x:row r="78" ht="240" customHeight="1">
      <x:c r="A78" s="126" t="str">
        <x:v>OperationalData/PlateHeatExchangerOperationData/ThermalPerformanceOperationData/TargetApproachTemperature</x:v>
      </x:c>
      <x:c r="B78" s="126" t="str">
        <x:v>xs:double / K</x:v>
      </x:c>
      <x:c r="C78" s="126" t="str">
        <x:v>https://www.smart-factory.kr/ids/cd/TargetApproachTemperature/1/0</x:v>
      </x:c>
      <x:c r="D78" s="126" t="str">
        <x:v>자체 유지</x:v>
      </x:c>
      <x:c r="E78" s="126" t="str">
        <x:v>0173-1#02-BAI173#007 Inlet temperature (Section 1) / REAL_MEASURE / °C / Service temperature / Measured temperature at the inlet of the object
0173-1#02-BAI172#007 Outlet temperature (Section 1) / REAL_MEASURE / °C / Service temperature / Measured temperature at the outlet of the object
0173-1#02-ABM676#001 Design temperature (Section 1) / REAL_MEASURE / °C / Service temperature / The Temperature of the HE Tube/Coil/Process side designed to withstand under normal operating conditions, ensuring safety and structural integrity.</x:v>
      </x:c>
      <x:c r="F78" s="126" t="str">
        <x:v>실측 1차측 입출구 온도는 채택한다. 목표·허용 편차·접근 온도차·세정온도·2차측 온도는 동일한 측정 대상이 아니다. 설계 안전온도는 입출구 운전 목표값과 구분한다.</x:v>
      </x:c>
    </x:row>
    <x:row r="79" ht="240" customHeight="1">
      <x:c r="A79" s="126" t="str">
        <x:v>OperationalData/PlateHeatExchangerOperationData/ThermalPerformanceOperationData/CurrentApproachTemperature</x:v>
      </x:c>
      <x:c r="B79" s="126" t="str">
        <x:v>xs:double / K</x:v>
      </x:c>
      <x:c r="C79" s="126" t="str">
        <x:v>https://www.smart-factory.kr/ids/cd/CurrentApproachTemperature/1/0</x:v>
      </x:c>
      <x:c r="D79" s="126" t="str">
        <x:v>자체 유지</x:v>
      </x:c>
      <x:c r="E79" s="126" t="str">
        <x:v>0173-1#02-BAI173#007 Inlet temperature (Section 1) / REAL_MEASURE / °C / Service temperature / Measured temperature at the inlet of the object
0173-1#02-BAI172#007 Outlet temperature (Section 1) / REAL_MEASURE / °C / Service temperature / Measured temperature at the outlet of the object
0173-1#02-ABM676#001 Design temperature (Section 1) / REAL_MEASURE / °C / Service temperature / The Temperature of the HE Tube/Coil/Process side designed to withstand under normal operating conditions, ensuring safety and structural integrity.</x:v>
      </x:c>
      <x:c r="F79" s="126" t="str">
        <x:v>실측 1차측 입출구 온도는 채택한다. 목표·허용 편차·접근 온도차·세정온도·2차측 온도는 동일한 측정 대상이 아니다. 설계 안전온도는 입출구 운전 목표값과 구분한다.</x:v>
      </x:c>
    </x:row>
    <x:row r="80" ht="240" customHeight="1">
      <x:c r="A80" s="126" t="str">
        <x:v>OperationalData/PlateHeatExchangerOperationData/ThermalPerformanceOperationData/MaximumAllowableApproachTemperature</x:v>
      </x:c>
      <x:c r="B80" s="126" t="str">
        <x:v>xs:double / K</x:v>
      </x:c>
      <x:c r="C80" s="126" t="str">
        <x:v>https://www.smart-factory.kr/ids/cd/MaximumAllowableApproachTemperature/1/0</x:v>
      </x:c>
      <x:c r="D80" s="126" t="str">
        <x:v>자체 유지</x:v>
      </x:c>
      <x:c r="E80" s="126" t="str">
        <x:v>0173-1#02-BAI173#007 Inlet temperature (Section 1) / REAL_MEASURE / °C / Service temperature / Measured temperature at the inlet of the object
0173-1#02-BAI172#007 Outlet temperature (Section 1) / REAL_MEASURE / °C / Service temperature / Measured temperature at the outlet of the object
0173-1#02-ABM676#001 Design temperature (Section 1) / REAL_MEASURE / °C / Service temperature / The Temperature of the HE Tube/Coil/Process side designed to withstand under normal operating conditions, ensuring safety and structural integrity.</x:v>
      </x:c>
      <x:c r="F80" s="126" t="str">
        <x:v>실측 1차측 입출구 온도는 채택한다. 목표·허용 편차·접근 온도차·세정온도·2차측 온도는 동일한 측정 대상이 아니다. 설계 안전온도는 입출구 운전 목표값과 구분한다.</x:v>
      </x:c>
    </x:row>
    <x:row r="81" ht="240" customHeight="1">
      <x:c r="A81" s="126" t="str">
        <x:v>OperationalData/PlateHeatExchangerOperationData/ThermalPerformanceOperationData/MaximumAllowablePrimaryOutletTemperatureDeviation</x:v>
      </x:c>
      <x:c r="B81" s="126" t="str">
        <x:v>xs:double / °C</x:v>
      </x:c>
      <x:c r="C81" s="126" t="str">
        <x:v>https://www.smart-factory.kr/ids/cd/MaximumAllowablePrimaryOutletTemperatureDeviation/1/0</x:v>
      </x:c>
      <x:c r="D81" s="126" t="str">
        <x:v>자체 유지</x:v>
      </x:c>
      <x:c r="E81" s="126" t="str">
        <x:v>0173-1#02-BAI173#007 Inlet temperature (Section 1) / REAL_MEASURE / °C / Service temperature / Measured temperature at the inlet of the object
0173-1#02-BAI172#007 Outlet temperature (Section 1) / REAL_MEASURE / °C / Service temperature / Measured temperature at the outlet of the object
0173-1#02-ABM676#001 Design temperature (Section 1) / REAL_MEASURE / °C / Service temperature / The Temperature of the HE Tube/Coil/Process side designed to withstand under normal operating conditions, ensuring safety and structural integrity.</x:v>
      </x:c>
      <x:c r="F81" s="126" t="str">
        <x:v>실측 1차측 입출구 온도는 채택한다. 목표·허용 편차·접근 온도차·세정온도·2차측 온도는 동일한 측정 대상이 아니다. 설계 안전온도는 입출구 운전 목표값과 구분한다.</x:v>
      </x:c>
    </x:row>
    <x:row r="82" ht="240" customHeight="1">
      <x:c r="A82" s="126" t="str">
        <x:v>OperationalData/PlateHeatExchangerOperationData/ThermalPerformanceOperationData/MaximumAllowableSecondaryOutletTemperatureDeviation</x:v>
      </x:c>
      <x:c r="B82" s="126" t="str">
        <x:v>xs:double / °C</x:v>
      </x:c>
      <x:c r="C82" s="126" t="str">
        <x:v>https://www.smart-factory.kr/ids/cd/MaximumAllowableSecondaryOutletTemperatureDeviation/1/0</x:v>
      </x:c>
      <x:c r="D82" s="126" t="str">
        <x:v>자체 유지</x:v>
      </x:c>
      <x:c r="E82" s="126" t="str">
        <x:v>0173-1#02-BAI173#007 Inlet temperature (Section 1) / REAL_MEASURE / °C / Service temperature / Measured temperature at the inlet of the object
0173-1#02-BAI172#007 Outlet temperature (Section 1) / REAL_MEASURE / °C / Service temperature / Measured temperature at the outlet of the object
0173-1#02-ABM676#001 Design temperature (Section 1) / REAL_MEASURE / °C / Service temperature / The Temperature of the HE Tube/Coil/Process side designed to withstand under normal operating conditions, ensuring safety and structural integrity.</x:v>
      </x:c>
      <x:c r="F82" s="126" t="str">
        <x:v>실측 1차측 입출구 온도는 채택한다. 목표·허용 편차·접근 온도차·세정온도·2차측 온도는 동일한 측정 대상이 아니다. 설계 안전온도는 입출구 운전 목표값과 구분한다.</x:v>
      </x:c>
    </x:row>
    <x:row r="83" ht="240" customHeight="1">
      <x:c r="A83" s="126" t="str">
        <x:v>OperationalData/PlateHeatExchangerOperationData/ThermalPerformanceOperationData/EstimatedFoulingFactor</x:v>
      </x:c>
      <x:c r="B83" s="126" t="str">
        <x:v>xs:double / m²·K/W</x:v>
      </x:c>
      <x:c r="C83" s="126" t="str">
        <x:v>https://www.smart-factory.kr/ids/cd/EstimatedFoulingFactor/1/0</x:v>
      </x:c>
      <x:c r="D83" s="126" t="str">
        <x:v>자체 유지</x:v>
      </x:c>
      <x:c r="E83" s="126" t="str">
        <x:v>0173-1#02-ABA846#004 auxiliary device fault - fouling / BOOLEAN / - / - / auxiliary device failure due to fouling on sensor element</x:v>
      </x:c>
      <x:c r="F83" s="126" t="str">
        <x:v>오염계수(m²·K/W) 또는 작업상의 오염 조건이다. 후보는 센서 오염에 의한 보조장치 고장 여부(BOOLEAN)이므로 다른 정보이다.</x:v>
      </x:c>
    </x:row>
    <x:row r="84" ht="240" customHeight="1">
      <x:c r="A84" s="126" t="str">
        <x:v>OperationalData/PlateHeatExchangerOperationData/ThermalPerformanceOperationData/MaximumAllowableFoulingFactor</x:v>
      </x:c>
      <x:c r="B84" s="126" t="str">
        <x:v>xs:double / m²·K/W</x:v>
      </x:c>
      <x:c r="C84" s="126" t="str">
        <x:v>https://www.smart-factory.kr/ids/cd/MaximumAllowableFoulingFactor/1/0</x:v>
      </x:c>
      <x:c r="D84" s="126" t="str">
        <x:v>자체 유지</x:v>
      </x:c>
      <x:c r="E84" s="126" t="str">
        <x:v>0173-1#02-ABA846#004 auxiliary device fault - fouling / BOOLEAN / - / - / auxiliary device failure due to fouling on sensor element</x:v>
      </x:c>
      <x:c r="F84" s="126" t="str">
        <x:v>오염계수(m²·K/W) 또는 작업상의 오염 조건이다. 후보는 센서 오염에 의한 보조장치 고장 여부(BOOLEAN)이므로 다른 정보이다.</x:v>
      </x:c>
    </x:row>
    <x:row r="85" ht="240" customHeight="1">
      <x:c r="A85" s="126" t="str">
        <x:v>OperationalData/PlateHeatExchangerOperationData/PressureAndDifferentialPressureOperationData/MaximumAllowablePrimaryPressureDrop</x:v>
      </x:c>
      <x:c r="B85" s="126" t="str">
        <x:v>xs:double / bar</x:v>
      </x:c>
      <x:c r="C85" s="126" t="str">
        <x:v>https://www.smart-factory.kr/ids/cd/MaximumAllowablePrimaryPressureDrop/1/0</x:v>
      </x:c>
      <x:c r="D85" s="126" t="str">
        <x:v>자체 유지</x:v>
      </x:c>
      <x:c r="E85" s="126" t="str">
        <x:v>0173-1#02-ABL378#002 Operating pressure (Section 1) / REAL_MEASURE / bar / mechanical tension / pressure which arises in a system part within the operating range
0173-1#02-AAY638#004 pressure drop / REAL_MEASURE / mbar / mechanical tension / permanent loss of pressure over the primary element
0173-1#02-AAY842#004 max. allowable permanent pressure drop / REAL_MEASURE / mbar / mechanical tension / permitted continuing pressure loss in the line, caused by a primary device which has been built in or by line losses</x:v>
      </x:c>
      <x:c r="F85" s="126" t="str">
        <x:v>측별 입구 압력·압력강하·경보/허용 설정을 구분한다. 표준 운전압력은 구간 전체의 압력이며 입구 지정이 없고, 차압 후보는 primary device의 영구 손실(mbar)로 본 장비 양단 압력손실(bar)/경보 설정과 정의·단위가 다르다.</x:v>
      </x:c>
    </x:row>
    <x:row r="86" ht="240" customHeight="1">
      <x:c r="A86" s="126" t="str">
        <x:v>OperationalData/PlateHeatExchangerOperationData/PressureAndDifferentialPressureOperationData/MaximumAllowableSecondaryPressureDrop</x:v>
      </x:c>
      <x:c r="B86" s="126" t="str">
        <x:v>xs:double / bar</x:v>
      </x:c>
      <x:c r="C86" s="126" t="str">
        <x:v>https://www.smart-factory.kr/ids/cd/MaximumAllowableSecondaryPressureDrop/1/0</x:v>
      </x:c>
      <x:c r="D86" s="126" t="str">
        <x:v>자체 유지</x:v>
      </x:c>
      <x:c r="E86" s="126" t="str">
        <x:v>0173-1#02-ABL378#002 Operating pressure (Section 1) / REAL_MEASURE / bar / mechanical tension / pressure which arises in a system part within the operating range
0173-1#02-AAY638#004 pressure drop / REAL_MEASURE / mbar / mechanical tension / permanent loss of pressure over the primary element
0173-1#02-AAY842#004 max. allowable permanent pressure drop / REAL_MEASURE / mbar / mechanical tension / permitted continuing pressure loss in the line, caused by a primary device which has been built in or by line losses</x:v>
      </x:c>
      <x:c r="F86" s="126" t="str">
        <x:v>측별 입구 압력·압력강하·경보/허용 설정을 구분한다. 표준 운전압력은 구간 전체의 압력이며 입구 지정이 없고, 차압 후보는 primary device의 영구 손실(mbar)로 본 장비 양단 압력손실(bar)/경보 설정과 정의·단위가 다르다.</x:v>
      </x:c>
    </x:row>
    <x:row r="87" ht="240" customHeight="1">
      <x:c r="A87" s="126" t="str">
        <x:v>OperationalData/PlateHeatExchangerOperationData/PressureAndDifferentialPressureOperationData/PressureDropWarningThreshold</x:v>
      </x:c>
      <x:c r="B87" s="126" t="str">
        <x:v>xs:double / bar</x:v>
      </x:c>
      <x:c r="C87" s="126" t="str">
        <x:v>https://www.smart-factory.kr/ids/cd/PressureDropWarningThreshold/1/0</x:v>
      </x:c>
      <x:c r="D87" s="126" t="str">
        <x:v>자체 유지</x:v>
      </x:c>
      <x:c r="E87" s="126" t="str">
        <x:v>0173-1#02-ABL378#002 Operating pressure (Section 1) / REAL_MEASURE / bar / mechanical tension / pressure which arises in a system part within the operating range
0173-1#02-AAY638#004 pressure drop / REAL_MEASURE / mbar / mechanical tension / permanent loss of pressure over the primary element
0173-1#02-AAY842#004 max. allowable permanent pressure drop / REAL_MEASURE / mbar / mechanical tension / permitted continuing pressure loss in the line, caused by a primary device which has been built in or by line losses</x:v>
      </x:c>
      <x:c r="F87" s="126" t="str">
        <x:v>측별 입구 압력·압력강하·경보/허용 설정을 구분한다. 표준 운전압력은 구간 전체의 압력이며 입구 지정이 없고, 차압 후보는 primary device의 영구 손실(mbar)로 본 장비 양단 압력손실(bar)/경보 설정과 정의·단위가 다르다.</x:v>
      </x:c>
    </x:row>
    <x:row r="88" ht="240" customHeight="1">
      <x:c r="A88" s="126" t="str">
        <x:v>OperationalData/PlateHeatExchangerOperationData/PressureAndDifferentialPressureOperationData/HighPressureAlarmThreshold</x:v>
      </x:c>
      <x:c r="B88" s="126" t="str">
        <x:v>xs:double / bar</x:v>
      </x:c>
      <x:c r="C88" s="126" t="str">
        <x:v>https://www.smart-factory.kr/ids/cd/HighPressureAlarmThreshold/1/0</x:v>
      </x:c>
      <x:c r="D88" s="126" t="str">
        <x:v>자체 유지</x:v>
      </x:c>
      <x:c r="E88" s="126" t="str">
        <x:v>0173-1#02-ABL378#002 Operating pressure (Section 1) / REAL_MEASURE / bar / mechanical tension / pressure which arises in a system part within the operating range
0173-1#02-AAY638#004 pressure drop / REAL_MEASURE / mbar / mechanical tension / permanent loss of pressure over the primary element
0173-1#02-AAY842#004 max. allowable permanent pressure drop / REAL_MEASURE / mbar / mechanical tension / permitted continuing pressure loss in the line, caused by a primary device which has been built in or by line losses</x:v>
      </x:c>
      <x:c r="F88" s="126" t="str">
        <x:v>측별 입구 압력·압력강하·경보/허용 설정을 구분한다. 표준 운전압력은 구간 전체의 압력이며 입구 지정이 없고, 차압 후보는 primary device의 영구 손실(mbar)로 본 장비 양단 압력손실(bar)/경보 설정과 정의·단위가 다르다.</x:v>
      </x:c>
    </x:row>
    <x:row r="89" ht="240" customHeight="1">
      <x:c r="A89" s="126" t="str">
        <x:v>OperationalData/PlateHeatExchangerOperationData/PressureAndDifferentialPressureOperationData/HighPressureDropAlarmThreshold</x:v>
      </x:c>
      <x:c r="B89" s="126" t="str">
        <x:v>xs:double / bar</x:v>
      </x:c>
      <x:c r="C89" s="126" t="str">
        <x:v>https://www.smart-factory.kr/ids/cd/HighPressureDropAlarmThreshold/1/0</x:v>
      </x:c>
      <x:c r="D89" s="126" t="str">
        <x:v>자체 유지</x:v>
      </x:c>
      <x:c r="E89" s="126" t="str">
        <x:v>0173-1#02-ABL378#002 Operating pressure (Section 1) / REAL_MEASURE / bar / mechanical tension / pressure which arises in a system part within the operating range
0173-1#02-AAY638#004 pressure drop / REAL_MEASURE / mbar / mechanical tension / permanent loss of pressure over the primary element
0173-1#02-AAY842#004 max. allowable permanent pressure drop / REAL_MEASURE / mbar / mechanical tension / permitted continuing pressure loss in the line, caused by a primary device which has been built in or by line losses</x:v>
      </x:c>
      <x:c r="F89" s="126" t="str">
        <x:v>측별 입구 압력·압력강하·경보/허용 설정을 구분한다. 표준 운전압력은 구간 전체의 압력이며 입구 지정이 없고, 차압 후보는 primary device의 영구 손실(mbar)로 본 장비 양단 압력손실(bar)/경보 설정과 정의·단위가 다르다.</x:v>
      </x:c>
    </x:row>
    <x:row r="90" ht="240" customHeight="1">
      <x:c r="A90" s="126" t="str">
        <x:v>ProcessParameters/Processes/Process__00__/ProductParameters/PlateHeatExchangerProductRequirements/FluidAndFoulingConditions/TargetFluidType</x:v>
      </x:c>
      <x:c r="B90" s="126" t="str">
        <x:v>xs:string / </x:v>
      </x:c>
      <x:c r="C90" s="126" t="str">
        <x:v>https://www.smart-factory.kr/ids/cd/TargetFluidType/1/0</x:v>
      </x:c>
      <x:c r="D90" s="126" t="str">
        <x:v>자체 유지</x:v>
      </x:c>
      <x:c r="E90" s="126" t="str">
        <x:v>0173-1#02-AAO653#004 type and size of fluid supply connection / STRING / - / - / identification of a thread connection according to type and size for the connection of the supply line
0173-1#02-ABF575#004 type of fluid substance (liquid and gas) for insulation / STRING_TRANSLATABLE / - / - / Specification of the type of liquid substance (liquid and gas) for the insulation</x:v>
      </x:c>
      <x:c r="F90" s="126" t="str">
        <x:v>해당 장비의 운전상태 코드, 절차상 요구사항, 매체/소모품 지정 또는 예시 범위 설명이다. 전체 사전에서 idShort 명칭 후보를 검색하되 동일 대상·역할·자료형·단위까지 입증된 후보가 없어 자체 정의를 유지한다. 표준사전에 절대 존재하지 않는다는 주장은 아니다.</x:v>
      </x:c>
    </x:row>
    <x:row r="91" ht="240" customHeight="1">
      <x:c r="A91" s="126" t="str">
        <x:v>ProcessParameters/Processes/Process__00__/ProductParameters/PlateHeatExchangerProductRequirements/FluidAndFoulingConditions/PrimarySideFluidCondition</x:v>
      </x:c>
      <x:c r="B91" s="126" t="str">
        <x:v>xs:string / </x:v>
      </x:c>
      <x:c r="C91" s="126" t="str">
        <x:v>https://www.smart-factory.kr/ids/cd/PrimarySideFluidCondition/1/0</x:v>
      </x:c>
      <x:c r="D91" s="126" t="str">
        <x:v>자체 유지</x:v>
      </x:c>
      <x:c r="E91" s="126" t="str">
        <x:v>동일 정의가 확인된 후보 없음</x:v>
      </x:c>
      <x:c r="F91" s="126" t="str">
        <x:v>해당 장비의 운전상태 코드, 절차상 요구사항, 매체/소모품 지정 또는 예시 범위 설명이다. 전체 사전에서 idShort 명칭 후보를 검색하되 동일 대상·역할·자료형·단위까지 입증된 후보가 없어 자체 정의를 유지한다. 표준사전에 절대 존재하지 않는다는 주장은 아니다.</x:v>
      </x:c>
    </x:row>
    <x:row r="92" ht="240" customHeight="1">
      <x:c r="A92" s="126" t="str">
        <x:v>ProcessParameters/Processes/Process__00__/ProductParameters/PlateHeatExchangerProductRequirements/FluidAndFoulingConditions/SecondarySideFluidCondition</x:v>
      </x:c>
      <x:c r="B92" s="126" t="str">
        <x:v>xs:string / </x:v>
      </x:c>
      <x:c r="C92" s="126" t="str">
        <x:v>https://www.smart-factory.kr/ids/cd/SecondarySideFluidCondition/1/0</x:v>
      </x:c>
      <x:c r="D92" s="126" t="str">
        <x:v>자체 유지</x:v>
      </x:c>
      <x:c r="E92" s="126" t="str">
        <x:v>동일 정의가 확인된 후보 없음</x:v>
      </x:c>
      <x:c r="F92" s="126" t="str">
        <x:v>해당 장비의 운전상태 코드, 절차상 요구사항, 매체/소모품 지정 또는 예시 범위 설명이다. 전체 사전에서 idShort 명칭 후보를 검색하되 동일 대상·역할·자료형·단위까지 입증된 후보가 없어 자체 정의를 유지한다. 표준사전에 절대 존재하지 않는다는 주장은 아니다.</x:v>
      </x:c>
    </x:row>
    <x:row r="93" ht="240" customHeight="1">
      <x:c r="A93" s="126" t="str">
        <x:v>ProcessParameters/Processes/Process__00__/ProductParameters/PlateHeatExchangerProductRequirements/FluidAndFoulingConditions/FoulingAllowanceCondition</x:v>
      </x:c>
      <x:c r="B93" s="126" t="str">
        <x:v>xs:string / </x:v>
      </x:c>
      <x:c r="C93" s="126" t="str">
        <x:v>https://www.smart-factory.kr/ids/cd/FoulingAllowanceCondition/1/0</x:v>
      </x:c>
      <x:c r="D93" s="126" t="str">
        <x:v>자체 유지</x:v>
      </x:c>
      <x:c r="E93" s="126" t="str">
        <x:v>0173-1#02-ABA846#004 auxiliary device fault - fouling / BOOLEAN / - / - / auxiliary device failure due to fouling on sensor element</x:v>
      </x:c>
      <x:c r="F93" s="126" t="str">
        <x:v>오염계수(m²·K/W) 또는 작업상의 오염 조건이다. 후보는 센서 오염에 의한 보조장치 고장 여부(BOOLEAN)이므로 다른 정보이다.</x:v>
      </x:c>
    </x:row>
    <x:row r="94" ht="240" customHeight="1">
      <x:c r="A94" s="126" t="str">
        <x:v>ProcessParameters/Processes/Process__00__/ProductParameters/PlateHeatExchangerProductRequirements/ThermalPerformanceRequirements/RequiredOutletTemperature</x:v>
      </x:c>
      <x:c r="B94" s="126" t="str">
        <x:v>xs:double / °C</x:v>
      </x:c>
      <x:c r="C94" s="126" t="str">
        <x:v>https://www.smart-factory.kr/ids/cd/RequiredOutletTemperature/1/0</x:v>
      </x:c>
      <x:c r="D94" s="126" t="str">
        <x:v>자체 유지</x:v>
      </x:c>
      <x:c r="E94" s="126" t="str">
        <x:v>0173-1#02-BAI173#007 Inlet temperature (Section 1) / REAL_MEASURE / °C / Service temperature / Measured temperature at the inlet of the object
0173-1#02-BAI172#007 Outlet temperature (Section 1) / REAL_MEASURE / °C / Service temperature / Measured temperature at the outlet of the object
0173-1#02-ABM676#001 Design temperature (Section 1) / REAL_MEASURE / °C / Service temperature / The Temperature of the HE Tube/Coil/Process side designed to withstand under normal operating conditions, ensuring safety and structural integrity.</x:v>
      </x:c>
      <x:c r="F94" s="126" t="str">
        <x:v>실측 1차측 입출구 온도는 채택한다. 목표·허용 편차·접근 온도차·세정온도·2차측 온도는 동일한 측정 대상이 아니다. 설계 안전온도는 입출구 운전 목표값과 구분한다.</x:v>
      </x:c>
    </x:row>
    <x:row r="95" ht="240" customHeight="1">
      <x:c r="A95" s="126" t="str">
        <x:v>ProcessParameters/Processes/Process__00__/ProductParameters/PlateHeatExchangerProductRequirements/ThermalPerformanceRequirements/RequiredHeatDuty</x:v>
      </x:c>
      <x:c r="B95" s="126" t="str">
        <x:v>xs:double / kW</x:v>
      </x:c>
      <x:c r="C95" s="126" t="str">
        <x:v>https://www.smart-factory.kr/ids/cd/RequiredHeatDuty/1/0</x:v>
      </x:c>
      <x:c r="D95" s="126" t="str">
        <x:v>자체 유지</x:v>
      </x:c>
      <x:c r="E95" s="126" t="str">
        <x:v>0173-1#02-BAI259#008 Heat transfer surface area (Section 1/Section 2) / REAL_MEASURE / m² / surface / Size of a surface design for thermal transfer
0173-1#02-AAC970#010 Rated power / REAL_MEASURE / W / active power / value stipulated by the manufacturer for the electrical power for which the operating unit has been designed with due consideration of the specified ambient and operating condition</x:v>
      </x:c>
      <x:c r="F95" s="126" t="str">
        <x:v>열부하·열교환 유용도 및 요구/목표값이다. 전열면적(m²)이나 정격 전기입력(W)은 물리량·단위가 달라 대체하지 않는다.</x:v>
      </x:c>
    </x:row>
    <x:row r="96" ht="240" customHeight="1">
      <x:c r="A96" s="126" t="str">
        <x:v>ProcessParameters/Processes/Process__00__/ProductParameters/PlateHeatExchangerProductRequirements/ThermalPerformanceRequirements/RequiredHeatTransferEfficiency</x:v>
      </x:c>
      <x:c r="B96" s="126" t="str">
        <x:v>xs:double / %</x:v>
      </x:c>
      <x:c r="C96" s="126" t="str">
        <x:v>https://www.smart-factory.kr/ids/cd/RequiredHeatTransferEfficiency/1/0</x:v>
      </x:c>
      <x:c r="D96" s="126" t="str">
        <x:v>자체 유지</x:v>
      </x:c>
      <x:c r="E96" s="126" t="str">
        <x:v>0173-1#02-BAI259#008 Heat transfer surface area (Section 1/Section 2) / REAL_MEASURE / m² / surface / Size of a surface design for thermal transfer
0173-1#02-AAC970#010 Rated power / REAL_MEASURE / W / active power / value stipulated by the manufacturer for the electrical power for which the operating unit has been designed with due consideration of the specified ambient and operating condition</x:v>
      </x:c>
      <x:c r="F96" s="126" t="str">
        <x:v>열부하·열교환 유용도 및 요구/목표값이다. 전열면적(m²)이나 정격 전기입력(W)은 물리량·단위가 달라 대체하지 않는다.</x:v>
      </x:c>
    </x:row>
    <x:row r="97" ht="240" customHeight="1">
      <x:c r="A97" s="126" t="str">
        <x:v>ProcessParameters/Processes/Process__00__/ProductParameters/PlateHeatExchangerProductRequirements/ThermalPerformanceRequirements/RequiredApproachTemperature</x:v>
      </x:c>
      <x:c r="B97" s="126" t="str">
        <x:v>xs:double / K</x:v>
      </x:c>
      <x:c r="C97" s="126" t="str">
        <x:v>https://www.smart-factory.kr/ids/cd/RequiredApproachTemperature/1/0</x:v>
      </x:c>
      <x:c r="D97" s="126" t="str">
        <x:v>자체 유지</x:v>
      </x:c>
      <x:c r="E97" s="126" t="str">
        <x:v>0173-1#02-BAI173#007 Inlet temperature (Section 1) / REAL_MEASURE / °C / Service temperature / Measured temperature at the inlet of the object
0173-1#02-BAI172#007 Outlet temperature (Section 1) / REAL_MEASURE / °C / Service temperature / Measured temperature at the outlet of the object
0173-1#02-ABM676#001 Design temperature (Section 1) / REAL_MEASURE / °C / Service temperature / The Temperature of the HE Tube/Coil/Process side designed to withstand under normal operating conditions, ensuring safety and structural integrity.</x:v>
      </x:c>
      <x:c r="F97" s="126" t="str">
        <x:v>실측 1차측 입출구 온도는 채택한다. 목표·허용 편차·접근 온도차·세정온도·2차측 온도는 동일한 측정 대상이 아니다. 설계 안전온도는 입출구 운전 목표값과 구분한다.</x:v>
      </x:c>
    </x:row>
    <x:row r="98" ht="240" customHeight="1">
      <x:c r="A98" s="126" t="str">
        <x:v>ProcessParameters/Processes/Process__00__/ProcessParameters/PlateHeatExchangerOperatingRecipe/FlowTemperatureAndPressureSetpoints/TargetPrimaryFlowRate</x:v>
      </x:c>
      <x:c r="B98" s="126" t="str">
        <x:v>xs:double / m³/h</x:v>
      </x:c>
      <x:c r="C98" s="126" t="str">
        <x:v>https://www.smart-factory.kr/ids/cd/TargetPrimaryFlowRate/1/0</x:v>
      </x:c>
      <x:c r="D98" s="126" t="str">
        <x:v>자체 유지</x:v>
      </x:c>
      <x:c r="E98" s="126" t="str">
        <x:v>0173-1#02-AAI965#006 volume flow, heat side / REAL_MEASURE / m³/h / volume flow rate or volume velocity / indication of the heater sided volume flow, ie the volume of fluid that flows per hour through a pipe
0173-1#02-AAI966#006 volume flow, heat source side / REAL_MEASURE / m³/h / volume flow rate or volume velocity / indication of the heat source sided volume flow, ie the volume of fluid that flows per hour through a pipe
0173-1#02-ABL382#002 Max flow rate (Section 1) / REAL_MEASURE / kg/s / mass flow rate / Maximum quantity of material which pass through the operating resource in a prescribed period of time</x:v>
      </x:c>
      <x:c r="F98" s="126" t="str">
        <x:v>설계·목표·현재·세정의 역할과 1/2차측을 지정한 체적유량이다. 최대 질량유량은 kg/s로 물리량이 다르며 가열측/열원측 명칭만으로 본 모델의 측정 위치·설정 역할을 확정하지 않는다.</x:v>
      </x:c>
    </x:row>
    <x:row r="99" ht="240" customHeight="1">
      <x:c r="A99" s="126" t="str">
        <x:v>ProcessParameters/Processes/Process__00__/ProcessParameters/PlateHeatExchangerOperatingRecipe/FlowTemperatureAndPressureSetpoints/TargetSecondaryFlowRate</x:v>
      </x:c>
      <x:c r="B99" s="126" t="str">
        <x:v>xs:double / m³/h</x:v>
      </x:c>
      <x:c r="C99" s="126" t="str">
        <x:v>https://www.smart-factory.kr/ids/cd/TargetSecondaryFlowRate/1/0</x:v>
      </x:c>
      <x:c r="D99" s="126" t="str">
        <x:v>자체 유지</x:v>
      </x:c>
      <x:c r="E99" s="126" t="str">
        <x:v>0173-1#02-AAI965#006 volume flow, heat side / REAL_MEASURE / m³/h / volume flow rate or volume velocity / indication of the heater sided volume flow, ie the volume of fluid that flows per hour through a pipe
0173-1#02-AAI966#006 volume flow, heat source side / REAL_MEASURE / m³/h / volume flow rate or volume velocity / indication of the heat source sided volume flow, ie the volume of fluid that flows per hour through a pipe
0173-1#02-ABL382#002 Max flow rate (Section 1) / REAL_MEASURE / kg/s / mass flow rate / Maximum quantity of material which pass through the operating resource in a prescribed period of time</x:v>
      </x:c>
      <x:c r="F99" s="126" t="str">
        <x:v>설계·목표·현재·세정의 역할과 1/2차측을 지정한 체적유량이다. 최대 질량유량은 kg/s로 물리량이 다르며 가열측/열원측 명칭만으로 본 모델의 측정 위치·설정 역할을 확정하지 않는다.</x:v>
      </x:c>
    </x:row>
    <x:row r="100" ht="240" customHeight="1">
      <x:c r="A100" s="126" t="str">
        <x:v>ProcessParameters/Processes/Process__00__/ProcessParameters/PlateHeatExchangerOperatingRecipe/FlowTemperatureAndPressureSetpoints/TargetPrimaryInletTemperature</x:v>
      </x:c>
      <x:c r="B100" s="126" t="str">
        <x:v>xs:double / °C</x:v>
      </x:c>
      <x:c r="C100" s="126" t="str">
        <x:v>https://www.smart-factory.kr/ids/cd/TargetPrimaryInletTemperature/1/0</x:v>
      </x:c>
      <x:c r="D100" s="126" t="str">
        <x:v>자체 유지</x:v>
      </x:c>
      <x:c r="E100" s="126" t="str">
        <x:v>0173-1#02-BAI173#007 Inlet temperature (Section 1) / REAL_MEASURE / °C / Service temperature / Measured temperature at the inlet of the object
0173-1#02-BAI172#007 Outlet temperature (Section 1) / REAL_MEASURE / °C / Service temperature / Measured temperature at the outlet of the object
0173-1#02-ABM676#001 Design temperature (Section 1) / REAL_MEASURE / °C / Service temperature / The Temperature of the HE Tube/Coil/Process side designed to withstand under normal operating conditions, ensuring safety and structural integrity.</x:v>
      </x:c>
      <x:c r="F100" s="126" t="str">
        <x:v>실측 1차측 입출구 온도는 채택한다. 목표·허용 편차·접근 온도차·세정온도·2차측 온도는 동일한 측정 대상이 아니다. 설계 안전온도는 입출구 운전 목표값과 구분한다.</x:v>
      </x:c>
    </x:row>
    <x:row r="101" ht="240" customHeight="1">
      <x:c r="A101" s="126" t="str">
        <x:v>ProcessParameters/Processes/Process__00__/ProcessParameters/PlateHeatExchangerOperatingRecipe/FlowTemperatureAndPressureSetpoints/TargetPrimaryOutletTemperature</x:v>
      </x:c>
      <x:c r="B101" s="126" t="str">
        <x:v>xs:double / °C</x:v>
      </x:c>
      <x:c r="C101" s="126" t="str">
        <x:v>https://www.smart-factory.kr/ids/cd/TargetPrimaryOutletTemperature/1/0</x:v>
      </x:c>
      <x:c r="D101" s="126" t="str">
        <x:v>자체 유지</x:v>
      </x:c>
      <x:c r="E101" s="126" t="str">
        <x:v>0173-1#02-BAI173#007 Inlet temperature (Section 1) / REAL_MEASURE / °C / Service temperature / Measured temperature at the inlet of the object
0173-1#02-BAI172#007 Outlet temperature (Section 1) / REAL_MEASURE / °C / Service temperature / Measured temperature at the outlet of the object
0173-1#02-ABM676#001 Design temperature (Section 1) / REAL_MEASURE / °C / Service temperature / The Temperature of the HE Tube/Coil/Process side designed to withstand under normal operating conditions, ensuring safety and structural integrity.</x:v>
      </x:c>
      <x:c r="F101" s="126" t="str">
        <x:v>실측 1차측 입출구 온도는 채택한다. 목표·허용 편차·접근 온도차·세정온도·2차측 온도는 동일한 측정 대상이 아니다. 설계 안전온도는 입출구 운전 목표값과 구분한다.</x:v>
      </x:c>
    </x:row>
    <x:row r="102" ht="240" customHeight="1">
      <x:c r="A102" s="126" t="str">
        <x:v>ProcessParameters/Processes/Process__00__/ProcessParameters/PlateHeatExchangerOperatingRecipe/FlowTemperatureAndPressureSetpoints/TargetSecondaryInletTemperature</x:v>
      </x:c>
      <x:c r="B102" s="126" t="str">
        <x:v>xs:double / °C</x:v>
      </x:c>
      <x:c r="C102" s="126" t="str">
        <x:v>https://www.smart-factory.kr/ids/cd/TargetSecondaryInletTemperature/1/0</x:v>
      </x:c>
      <x:c r="D102" s="126" t="str">
        <x:v>자체 유지</x:v>
      </x:c>
      <x:c r="E102" s="126" t="str">
        <x:v>0173-1#02-BAI173#007 Inlet temperature (Section 1) / REAL_MEASURE / °C / Service temperature / Measured temperature at the inlet of the object
0173-1#02-BAI172#007 Outlet temperature (Section 1) / REAL_MEASURE / °C / Service temperature / Measured temperature at the outlet of the object
0173-1#02-ABM676#001 Design temperature (Section 1) / REAL_MEASURE / °C / Service temperature / The Temperature of the HE Tube/Coil/Process side designed to withstand under normal operating conditions, ensuring safety and structural integrity.</x:v>
      </x:c>
      <x:c r="F102" s="126" t="str">
        <x:v>실측 1차측 입출구 온도는 채택한다. 목표·허용 편차·접근 온도차·세정온도·2차측 온도는 동일한 측정 대상이 아니다. 설계 안전온도는 입출구 운전 목표값과 구분한다.</x:v>
      </x:c>
    </x:row>
    <x:row r="103" ht="240" customHeight="1">
      <x:c r="A103" s="126" t="str">
        <x:v>ProcessParameters/Processes/Process__00__/ProcessParameters/PlateHeatExchangerOperatingRecipe/FlowTemperatureAndPressureSetpoints/TargetSecondaryOutletTemperature</x:v>
      </x:c>
      <x:c r="B103" s="126" t="str">
        <x:v>xs:double / °C</x:v>
      </x:c>
      <x:c r="C103" s="126" t="str">
        <x:v>https://www.smart-factory.kr/ids/cd/TargetSecondaryOutletTemperature/1/0</x:v>
      </x:c>
      <x:c r="D103" s="126" t="str">
        <x:v>자체 유지</x:v>
      </x:c>
      <x:c r="E103" s="126" t="str">
        <x:v>0173-1#02-BAI173#007 Inlet temperature (Section 1) / REAL_MEASURE / °C / Service temperature / Measured temperature at the inlet of the object
0173-1#02-BAI172#007 Outlet temperature (Section 1) / REAL_MEASURE / °C / Service temperature / Measured temperature at the outlet of the object
0173-1#02-ABM676#001 Design temperature (Section 1) / REAL_MEASURE / °C / Service temperature / The Temperature of the HE Tube/Coil/Process side designed to withstand under normal operating conditions, ensuring safety and structural integrity.</x:v>
      </x:c>
      <x:c r="F103" s="126" t="str">
        <x:v>실측 1차측 입출구 온도는 채택한다. 목표·허용 편차·접근 온도차·세정온도·2차측 온도는 동일한 측정 대상이 아니다. 설계 안전온도는 입출구 운전 목표값과 구분한다.</x:v>
      </x:c>
    </x:row>
    <x:row r="104" ht="240" customHeight="1">
      <x:c r="A104" s="126" t="str">
        <x:v>ProcessParameters/Processes/Process__00__/ProcessParameters/PlateHeatExchangerOperatingRecipe/FlowTemperatureAndPressureSetpoints/TargetPrimaryInletPressure</x:v>
      </x:c>
      <x:c r="B104" s="126" t="str">
        <x:v>xs:double / bar</x:v>
      </x:c>
      <x:c r="C104" s="126" t="str">
        <x:v>https://www.smart-factory.kr/ids/cd/TargetPrimaryInletPressure/1/0</x:v>
      </x:c>
      <x:c r="D104" s="126" t="str">
        <x:v>자체 유지</x:v>
      </x:c>
      <x:c r="E104" s="126" t="str">
        <x:v>0173-1#02-ABL378#002 Operating pressure (Section 1) / REAL_MEASURE / bar / mechanical tension / pressure which arises in a system part within the operating range
0173-1#02-AAY638#004 pressure drop / REAL_MEASURE / mbar / mechanical tension / permanent loss of pressure over the primary element
0173-1#02-AAY842#004 max. allowable permanent pressure drop / REAL_MEASURE / mbar / mechanical tension / permitted continuing pressure loss in the line, caused by a primary device which has been built in or by line losses</x:v>
      </x:c>
      <x:c r="F104" s="126" t="str">
        <x:v>측별 입구 압력·압력강하·경보/허용 설정을 구분한다. 표준 운전압력은 구간 전체의 압력이며 입구 지정이 없고, 차압 후보는 primary device의 영구 손실(mbar)로 본 장비 양단 압력손실(bar)/경보 설정과 정의·단위가 다르다.</x:v>
      </x:c>
    </x:row>
    <x:row r="105" ht="240" customHeight="1">
      <x:c r="A105" s="126" t="str">
        <x:v>ProcessParameters/Processes/Process__00__/ProcessParameters/PlateHeatExchangerOperatingRecipe/FlowTemperatureAndPressureSetpoints/TargetSecondaryInletPressure</x:v>
      </x:c>
      <x:c r="B105" s="126" t="str">
        <x:v>xs:double / bar</x:v>
      </x:c>
      <x:c r="C105" s="126" t="str">
        <x:v>https://www.smart-factory.kr/ids/cd/TargetSecondaryInletPressure/1/0</x:v>
      </x:c>
      <x:c r="D105" s="126" t="str">
        <x:v>자체 유지</x:v>
      </x:c>
      <x:c r="E105" s="126" t="str">
        <x:v>0173-1#02-ABL378#002 Operating pressure (Section 1) / REAL_MEASURE / bar / mechanical tension / pressure which arises in a system part within the operating range
0173-1#02-AAY638#004 pressure drop / REAL_MEASURE / mbar / mechanical tension / permanent loss of pressure over the primary element
0173-1#02-AAY842#004 max. allowable permanent pressure drop / REAL_MEASURE / mbar / mechanical tension / permitted continuing pressure loss in the line, caused by a primary device which has been built in or by line losses</x:v>
      </x:c>
      <x:c r="F105" s="126" t="str">
        <x:v>측별 입구 압력·압력강하·경보/허용 설정을 구분한다. 표준 운전압력은 구간 전체의 압력이며 입구 지정이 없고, 차압 후보는 primary device의 영구 손실(mbar)로 본 장비 양단 압력손실(bar)/경보 설정과 정의·단위가 다르다.</x:v>
      </x:c>
    </x:row>
    <x:row r="106" ht="240" customHeight="1">
      <x:c r="A106" s="126" t="str">
        <x:v>ProcessParameters/Processes/Process__00__/ProcessParameters/PlateHeatExchangerOperatingRecipe/ThermalPerformanceSetpoints/TargetApproachTemperature</x:v>
      </x:c>
      <x:c r="B106" s="126" t="str">
        <x:v>xs:double / K</x:v>
      </x:c>
      <x:c r="C106" s="126" t="str">
        <x:v>https://www.smart-factory.kr/ids/cd/TargetApproachTemperature/1/0</x:v>
      </x:c>
      <x:c r="D106" s="126" t="str">
        <x:v>자체 유지</x:v>
      </x:c>
      <x:c r="E106" s="126" t="str">
        <x:v>0173-1#02-BAI173#007 Inlet temperature (Section 1) / REAL_MEASURE / °C / Service temperature / Measured temperature at the inlet of the object
0173-1#02-BAI172#007 Outlet temperature (Section 1) / REAL_MEASURE / °C / Service temperature / Measured temperature at the outlet of the object
0173-1#02-ABM676#001 Design temperature (Section 1) / REAL_MEASURE / °C / Service temperature / The Temperature of the HE Tube/Coil/Process side designed to withstand under normal operating conditions, ensuring safety and structural integrity.</x:v>
      </x:c>
      <x:c r="F106" s="126" t="str">
        <x:v>실측 1차측 입출구 온도는 채택한다. 목표·허용 편차·접근 온도차·세정온도·2차측 온도는 동일한 측정 대상이 아니다. 설계 안전온도는 입출구 운전 목표값과 구분한다.</x:v>
      </x:c>
    </x:row>
    <x:row r="107" ht="240" customHeight="1">
      <x:c r="A107" s="126" t="str">
        <x:v>ProcessParameters/Processes/Process__00__/ProcessParameters/PlateHeatExchangerOperatingRecipe/ThermalPerformanceSetpoints/TargetHeatDuty</x:v>
      </x:c>
      <x:c r="B107" s="126" t="str">
        <x:v>xs:double / kW</x:v>
      </x:c>
      <x:c r="C107" s="126" t="str">
        <x:v>https://www.smart-factory.kr/ids/cd/TargetHeatDuty/1/0</x:v>
      </x:c>
      <x:c r="D107" s="126" t="str">
        <x:v>자체 유지</x:v>
      </x:c>
      <x:c r="E107" s="126" t="str">
        <x:v>0173-1#02-BAI259#008 Heat transfer surface area (Section 1/Section 2) / REAL_MEASURE / m² / surface / Size of a surface design for thermal transfer
0173-1#02-AAC970#010 Rated power / REAL_MEASURE / W / active power / value stipulated by the manufacturer for the electrical power for which the operating unit has been designed with due consideration of the specified ambient and operating condition</x:v>
      </x:c>
      <x:c r="F107" s="126" t="str">
        <x:v>열부하·열교환 유용도 및 요구/목표값이다. 전열면적(m²)이나 정격 전기입력(W)은 물리량·단위가 달라 대체하지 않는다.</x:v>
      </x:c>
    </x:row>
    <x:row r="108" ht="240" customHeight="1">
      <x:c r="A108" s="126" t="str">
        <x:v>ProcessParameters/Processes/Process__00__/ProcessParameters/PlateHeatExchangerOperatingRecipe/CleaningSetpoints/CleaningFluidFlowRate</x:v>
      </x:c>
      <x:c r="B108" s="126" t="str">
        <x:v>xs:double / m³/h</x:v>
      </x:c>
      <x:c r="C108" s="126" t="str">
        <x:v>https://www.smart-factory.kr/ids/cd/CleaningFluidFlowRate/1/0</x:v>
      </x:c>
      <x:c r="D108" s="126" t="str">
        <x:v>자체 유지</x:v>
      </x:c>
      <x:c r="E108" s="126" t="str">
        <x:v>0173-1#02-AAI965#006 volume flow, heat side / REAL_MEASURE / m³/h / volume flow rate or volume velocity / indication of the heater sided volume flow, ie the volume of fluid that flows per hour through a pipe
0173-1#02-AAI966#006 volume flow, heat source side / REAL_MEASURE / m³/h / volume flow rate or volume velocity / indication of the heat source sided volume flow, ie the volume of fluid that flows per hour through a pipe
0173-1#02-ABL382#002 Max flow rate (Section 1) / REAL_MEASURE / kg/s / mass flow rate / Maximum quantity of material which pass through the operating resource in a prescribed period of time</x:v>
      </x:c>
      <x:c r="F108" s="126" t="str">
        <x:v>설계·목표·현재·세정의 역할과 1/2차측을 지정한 체적유량이다. 최대 질량유량은 kg/s로 물리량이 다르며 가열측/열원측 명칭만으로 본 모델의 측정 위치·설정 역할을 확정하지 않는다.</x:v>
      </x:c>
    </x:row>
    <x:row r="109" ht="240" customHeight="1">
      <x:c r="A109" s="126" t="str">
        <x:v>ProcessParameters/Processes/Process__00__/ProcessParameters/PlateHeatExchangerOperatingRecipe/CleaningSetpoints/CleaningTemperature</x:v>
      </x:c>
      <x:c r="B109" s="126" t="str">
        <x:v>xs:double / °C</x:v>
      </x:c>
      <x:c r="C109" s="126" t="str">
        <x:v>https://www.smart-factory.kr/ids/cd/CleaningTemperature/1/0</x:v>
      </x:c>
      <x:c r="D109" s="126" t="str">
        <x:v>자체 유지</x:v>
      </x:c>
      <x:c r="E109" s="126" t="str">
        <x:v>0173-1#02-BAI173#007 Inlet temperature (Section 1) / REAL_MEASURE / °C / Service temperature / Measured temperature at the inlet of the object
0173-1#02-BAI172#007 Outlet temperature (Section 1) / REAL_MEASURE / °C / Service temperature / Measured temperature at the outlet of the object
0173-1#02-ABM676#001 Design temperature (Section 1) / REAL_MEASURE / °C / Service temperature / The Temperature of the HE Tube/Coil/Process side designed to withstand under normal operating conditions, ensuring safety and structural integrity.</x:v>
      </x:c>
      <x:c r="F109" s="126" t="str">
        <x:v>실측 1차측 입출구 온도는 채택한다. 목표·허용 편차·접근 온도차·세정온도·2차측 온도는 동일한 측정 대상이 아니다. 설계 안전온도는 입출구 운전 목표값과 구분한다.</x:v>
      </x:c>
    </x:row>
    <x:row r="110" ht="240" customHeight="1">
      <x:c r="A110" s="126" t="str">
        <x:v>ProcessParameters/Processes/Process__00__/ProcessParameters/PlateHeatExchangerOperatingRecipe/CleaningSetpoints/CleaningTime</x:v>
      </x:c>
      <x:c r="B110" s="126" t="str">
        <x:v>xs:string / </x:v>
      </x:c>
      <x:c r="C110" s="126" t="str">
        <x:v>https://www.smart-factory.kr/ids/cd/CleaningTime/1/0</x:v>
      </x:c>
      <x:c r="D110" s="126" t="str">
        <x:v>자체 유지</x:v>
      </x:c>
      <x:c r="E110" s="126" t="str">
        <x:v>0173-1#02-AAL127#006 wet vacuum cleaning possible / BOOLEAN / - / - / whether tha vacuum cleaning of wet dirt is possible</x:v>
      </x:c>
      <x:c r="F110" s="126" t="str">
        <x:v>CIP 작업 설정·지원 여부·세정 소모품이다. 후보는 젖은 오물의 진공 청소 기능으로 다른 청소 방식이다.</x:v>
      </x:c>
    </x:row>
    <x:row r="111" ht="240" customHeight="1">
      <x:c r="A111" s="126" t="str">
        <x:v>ProcessParameters/Processes/Process__00__/ResourceParameters/PlateHeatExchangerResourceRequirements/MeasurementInstrumentRequirements/TemperatureSensorRequirement</x:v>
      </x:c>
      <x:c r="B111" s="126" t="str">
        <x:v>xs:string / </x:v>
      </x:c>
      <x:c r="C111" s="126" t="str">
        <x:v>https://www.smart-factory.kr/ids/cd/TemperatureSensorRequirement/1/0</x:v>
      </x:c>
      <x:c r="D111" s="126" t="str">
        <x:v>자체 유지</x:v>
      </x:c>
      <x:c r="E111" s="126" t="str">
        <x:v>0173-1#02-AAB534#010 input for analog temperature sensor present / BOOLEAN / - / - / whether device is equipped with an input for analog temperature sensor/resistance thermometer
0173-1#02-AAF827#006 temperature sensor present / BOOLEAN / - / - / specification whether there is a sensor which transforms the temperature value into an electric factor</x:v>
      </x:c>
      <x:c r="F111" s="126" t="str">
        <x:v>장비 운전에 필요한 계기·세정 연결·제어·데이터 수집 기능의 요구를 설명하는 STRING이다. 계기의 실제 온도·유량·압력이나 장비의 기능 존재 BOOLEAN과 구별한다.</x:v>
      </x:c>
    </x:row>
    <x:row r="112" ht="240" customHeight="1">
      <x:c r="A112" s="126" t="str">
        <x:v>ProcessParameters/Processes/Process__00__/ResourceParameters/PlateHeatExchangerResourceRequirements/MeasurementInstrumentRequirements/FlowMeterRequirement</x:v>
      </x:c>
      <x:c r="B112" s="126" t="str">
        <x:v>xs:string / </x:v>
      </x:c>
      <x:c r="C112" s="126" t="str">
        <x:v>https://www.smart-factory.kr/ids/cd/FlowMeterRequirement/1/0</x:v>
      </x:c>
      <x:c r="D112" s="126" t="str">
        <x:v>자체 유지</x:v>
      </x:c>
      <x:c r="E112" s="126" t="str">
        <x:v>0173-1#02-AAB527#009 Diameter of the outflow / REAL_MEASURE / mm / distance / Clear width of the open round point of the device that allows fluids draining off from the housing
0173-1#02-AAN763#004 type of variable area flowmeter signal tapping / STRING_TRANSLATABLE / - / - / classification of the tapping of a trip switch according to the method used to sense a change in status</x:v>
      </x:c>
      <x:c r="F112" s="126" t="str">
        <x:v>장비 운전에 필요한 계기·세정 연결·제어·데이터 수집 기능의 요구를 설명하는 STRING이다. 계기의 실제 온도·유량·압력이나 장비의 기능 존재 BOOLEAN과 구별한다.</x:v>
      </x:c>
    </x:row>
    <x:row r="113" ht="240" customHeight="1">
      <x:c r="A113" s="126" t="str">
        <x:v>ProcessParameters/Processes/Process__00__/ResourceParameters/PlateHeatExchangerResourceRequirements/MeasurementInstrumentRequirements/PressureSensorRequirement</x:v>
      </x:c>
      <x:c r="B113" s="126" t="str">
        <x:v>xs:string / </x:v>
      </x:c>
      <x:c r="C113" s="126" t="str">
        <x:v>https://www.smart-factory.kr/ids/cd/PressureSensorRequirement/1/0</x:v>
      </x:c>
      <x:c r="D113" s="126" t="str">
        <x:v>자체 유지</x:v>
      </x:c>
      <x:c r="E113" s="126" t="str">
        <x:v>0173-1#02-ABF621#004 requirements for design and tests of pressure vessels - request / STRING_TRANSLATABLE / - / - / requirements related to dielectric gases - requirements for design and tests of pressure vessels - request
0173-1#02-BAJ084#011 Suction pressure at maximum power requirement / INTEGER_MEASURE / mbar / mechanical tension / absolute pressure at the intake of the device at greatest power demand in the field of work</x:v>
      </x:c>
      <x:c r="F113" s="126" t="str">
        <x:v>장비 운전에 필요한 계기·세정 연결·제어·데이터 수집 기능의 요구를 설명하는 STRING이다. 계기의 실제 온도·유량·압력이나 장비의 기능 존재 BOOLEAN과 구별한다.</x:v>
      </x:c>
    </x:row>
    <x:row r="114" ht="240" customHeight="1">
      <x:c r="A114" s="126" t="str">
        <x:v>ProcessParameters/Processes/Process__00__/ResourceParameters/PlateHeatExchangerResourceRequirements/MeasurementInstrumentRequirements/DifferentialPressureSensorRequirement</x:v>
      </x:c>
      <x:c r="B114" s="126" t="str">
        <x:v>xs:string / </x:v>
      </x:c>
      <x:c r="C114" s="126" t="str">
        <x:v>https://www.smart-factory.kr/ids/cd/DifferentialPressureSensorRequirement/1/0</x:v>
      </x:c>
      <x:c r="D114" s="126" t="str">
        <x:v>자체 유지</x:v>
      </x:c>
      <x:c r="E114" s="126" t="str">
        <x:v>0173-1#02-AAZ814#004 differential pressure / REAL_MEASURE / bar / mechanical tension / difference between the values of two pressures simultaneously present at different measuring points
0173-1#02-ABF466#004 cold differential test pressure / REAL_MEASURE / bar / mechanical tension / inlet static pressure at which a safety valve is set to commence to open on the test bench</x:v>
      </x:c>
      <x:c r="F114" s="126" t="str">
        <x:v>장비 운전에 필요한 계기·세정 연결·제어·데이터 수집 기능의 요구를 설명하는 STRING이다. 계기의 실제 온도·유량·압력이나 장비의 기능 존재 BOOLEAN과 구별한다.</x:v>
      </x:c>
    </x:row>
    <x:row r="115" ht="240" customHeight="1">
      <x:c r="A115" s="126" t="str">
        <x:v>ProcessParameters/Processes/Process__00__/ResourceParameters/PlateHeatExchangerResourceRequirements/CleaningControlAndDataRequirements/CleaningSystemRequirement</x:v>
      </x:c>
      <x:c r="B115" s="126" t="str">
        <x:v>xs:string / </x:v>
      </x:c>
      <x:c r="C115" s="126" t="str">
        <x:v>https://www.smart-factory.kr/ids/cd/CleaningSystemRequirement/1/0</x:v>
      </x:c>
      <x:c r="D115" s="126" t="str">
        <x:v>자체 유지</x:v>
      </x:c>
      <x:c r="E115" s="126" t="str">
        <x:v>0173-1#02-AAE186#010 Integrated Cleaning system of the cavity / STRING / - / - / Availability and type of integrated system to support cleaning of the cavity
0173-1#02-AAF431#007 Hot water extraction cleaning system / BOOLEAN / - / - / presence of hot water cleaning system</x:v>
      </x:c>
      <x:c r="F115" s="126" t="str">
        <x:v>장비 운전에 필요한 계기·세정 연결·제어·데이터 수집 기능의 요구를 설명하는 STRING이다. 계기의 실제 온도·유량·압력이나 장비의 기능 존재 BOOLEAN과 구별한다.</x:v>
      </x:c>
    </x:row>
    <x:row r="116" ht="240" customHeight="1">
      <x:c r="A116" s="126" t="str">
        <x:v>ProcessParameters/Processes/Process__00__/ResourceParameters/PlateHeatExchangerResourceRequirements/CleaningControlAndDataRequirements/ValveControlRequirement</x:v>
      </x:c>
      <x:c r="B116" s="126" t="str">
        <x:v>xs:string / </x:v>
      </x:c>
      <x:c r="C116" s="126" t="str">
        <x:v>https://www.smart-factory.kr/ids/cd/ValveControlRequirement/1/0</x:v>
      </x:c>
      <x:c r="D116" s="126" t="str">
        <x:v>자체 유지</x:v>
      </x:c>
      <x:c r="E116" s="126" t="str">
        <x:v>0173-1#02-AAZ979#004 flow control valve function / STRING / - / - / method of influencing the flow rate of a fluidic component
0173-1#02-AAZ989#004 directional control valve function / STRING / - / - / specification of the number of connections and shifting positions of a fluidic directional control valve</x:v>
      </x:c>
      <x:c r="F116" s="126" t="str">
        <x:v>장비 운전에 필요한 계기·세정 연결·제어·데이터 수집 기능의 요구를 설명하는 STRING이다. 계기의 실제 온도·유량·압력이나 장비의 기능 존재 BOOLEAN과 구별한다.</x:v>
      </x:c>
    </x:row>
    <x:row r="117" ht="240" customHeight="1">
      <x:c r="A117" s="126" t="str">
        <x:v>ProcessParameters/Processes/Process__00__/ResourceParameters/PlateHeatExchangerResourceRequirements/CleaningControlAndDataRequirements/DataAcquisitionRequirement</x:v>
      </x:c>
      <x:c r="B117" s="126" t="str">
        <x:v>xs:string / </x:v>
      </x:c>
      <x:c r="C117" s="126" t="str">
        <x:v>https://www.smart-factory.kr/ids/cd/DataAcquisitionRequirement/1/0</x:v>
      </x:c>
      <x:c r="D117" s="126" t="str">
        <x:v>자체 유지</x:v>
      </x:c>
      <x:c r="E117" s="126" t="str">
        <x:v>동일 정의가 확인된 후보 없음</x:v>
      </x:c>
      <x:c r="F117" s="126" t="str">
        <x:v>장비 운전에 필요한 계기·세정 연결·제어·데이터 수집 기능의 요구를 설명하는 STRING이다. 계기의 실제 온도·유량·압력이나 장비의 기능 존재 BOOLEAN과 구별한다.</x:v>
      </x:c>
    </x:row>
    <x:row r="118" ht="240" customHeight="1">
      <x:c r="A118" s="126" t="str">
        <x:v>ProcessParameters/Processes/Process__00__/ProcessBoM/PlateHeatExchangerProcessMaterials/HeatExchangeMedia/PrimarySideMedium</x:v>
      </x:c>
      <x:c r="B118" s="126" t="str">
        <x:v>xs:string / </x:v>
      </x:c>
      <x:c r="C118" s="126" t="str">
        <x:v>https://www.smart-factory.kr/ids/cd/PrimarySideMedium/1/0</x:v>
      </x:c>
      <x:c r="D118" s="126" t="str">
        <x:v>자체 유지</x:v>
      </x:c>
      <x:c r="E118" s="126" t="str">
        <x:v>동일 정의가 확인된 후보 없음</x:v>
      </x:c>
      <x:c r="F118" s="126" t="str">
        <x:v>해당 장비의 운전상태 코드, 절차상 요구사항, 매체/소모품 지정 또는 예시 범위 설명이다. 전체 사전에서 idShort 명칭 후보를 검색하되 동일 대상·역할·자료형·단위까지 입증된 후보가 없어 자체 정의를 유지한다. 표준사전에 절대 존재하지 않는다는 주장은 아니다.</x:v>
      </x:c>
    </x:row>
    <x:row r="119" ht="240" customHeight="1">
      <x:c r="A119" s="126" t="str">
        <x:v>ProcessParameters/Processes/Process__00__/ProcessBoM/PlateHeatExchangerProcessMaterials/HeatExchangeMedia/SecondarySideMedium</x:v>
      </x:c>
      <x:c r="B119" s="126" t="str">
        <x:v>xs:string / </x:v>
      </x:c>
      <x:c r="C119" s="126" t="str">
        <x:v>https://www.smart-factory.kr/ids/cd/SecondarySideMedium/1/0</x:v>
      </x:c>
      <x:c r="D119" s="126" t="str">
        <x:v>자체 유지</x:v>
      </x:c>
      <x:c r="E119" s="126" t="str">
        <x:v>동일 정의가 확인된 후보 없음</x:v>
      </x:c>
      <x:c r="F119" s="126" t="str">
        <x:v>해당 장비의 운전상태 코드, 절차상 요구사항, 매체/소모품 지정 또는 예시 범위 설명이다. 전체 사전에서 idShort 명칭 후보를 검색하되 동일 대상·역할·자료형·단위까지 입증된 후보가 없어 자체 정의를 유지한다. 표준사전에 절대 존재하지 않는다는 주장은 아니다.</x:v>
      </x:c>
    </x:row>
    <x:row r="120" ht="240" customHeight="1">
      <x:c r="A120" s="126" t="str">
        <x:v>ProcessParameters/Processes/Process__00__/ProcessBoM/PlateHeatExchangerProcessMaterials/CleaningAndMaintenanceConsumables/CleaningChemical</x:v>
      </x:c>
      <x:c r="B120" s="126" t="str">
        <x:v>xs:string / </x:v>
      </x:c>
      <x:c r="C120" s="126" t="str">
        <x:v>https://www.smart-factory.kr/ids/cd/CleaningChemical/1/0</x:v>
      </x:c>
      <x:c r="D120" s="126" t="str">
        <x:v>자체 유지</x:v>
      </x:c>
      <x:c r="E120" s="126" t="str">
        <x:v>0173-1#02-AAL127#006 wet vacuum cleaning possible / BOOLEAN / - / - / whether tha vacuum cleaning of wet dirt is possible</x:v>
      </x:c>
      <x:c r="F120" s="126" t="str">
        <x:v>CIP 작업 설정·지원 여부·세정 소모품이다. 후보는 젖은 오물의 진공 청소 기능으로 다른 청소 방식이다.</x:v>
      </x:c>
    </x:row>
    <x:row r="121" ht="240" customHeight="1">
      <x:c r="A121" s="126" t="str">
        <x:v>ProcessParameters/Processes/Process__00__/ProcessBoM/PlateHeatExchangerProcessMaterials/CleaningAndMaintenanceConsumables/CleaningWater</x:v>
      </x:c>
      <x:c r="B121" s="126" t="str">
        <x:v>xs:string / </x:v>
      </x:c>
      <x:c r="C121" s="126" t="str">
        <x:v>https://www.smart-factory.kr/ids/cd/CleaningWater/1/0</x:v>
      </x:c>
      <x:c r="D121" s="126" t="str">
        <x:v>자체 유지</x:v>
      </x:c>
      <x:c r="E121" s="126" t="str">
        <x:v>0173-1#02-AAL127#006 wet vacuum cleaning possible / BOOLEAN / - / - / whether tha vacuum cleaning of wet dirt is possible</x:v>
      </x:c>
      <x:c r="F121" s="126" t="str">
        <x:v>CIP 작업 설정·지원 여부·세정 소모품이다. 후보는 젖은 오물의 진공 청소 기능으로 다른 청소 방식이다.</x:v>
      </x:c>
    </x:row>
    <x:row r="122" ht="240" customHeight="1">
      <x:c r="A122" s="126" t="str">
        <x:v>ProcessParameters/Processes/Process__00__/ProcessBoM/PlateHeatExchangerProcessMaterials/CleaningAndMaintenanceConsumables/GasketSparePart</x:v>
      </x:c>
      <x:c r="B122" s="126" t="str">
        <x:v>xs:string / </x:v>
      </x:c>
      <x:c r="C122" s="126" t="str">
        <x:v>https://www.smart-factory.kr/ids/cd/GasketSparePart/1/0</x:v>
      </x:c>
      <x:c r="D122" s="126" t="str">
        <x:v>자체 유지</x:v>
      </x:c>
      <x:c r="E122" s="126" t="str">
        <x:v>0173-1#02-AAP092#005 Static seal material description (Section 1) / STRING / - / - / Usual name or brand name of the material in general language
0173-1#02-AAP093#005 Static seal material description (Section 2) / STRING / - / - / Usual name or brand name of the material in general language
0173-1#02-AAP262#005 Static seal material (Section 1) / STRING / - / - / A norm-based numbering of the materials. The material is unambiguously described by referring to a norm</x:v>
      </x:c>
      <x:c r="F122" s="126" t="str">
        <x:v>장비 공통 패킹 재질 또는 교환용 패킹 세트이다. 후보는 특정 Section의 고정 씰 재질/규격번호이므로 공통 재질이나 소모품 세트와 범위가 다르다. EPDM을 규격 재질번호라고 주장하지 않는다.</x:v>
      </x:c>
    </x:row>
    <x:row r="124" ht="65" customHeight="1">
      <x:c r="A124" s="99" t="str">
        <x:v>사전 출처</x:v>
      </x:c>
      <x:c r="B124" s="99" t="str">
        <x:v>1730160000enUSassetXML01.zip / ECLASS16_0_PR_en.csv / ECLASS16_0_UN_en.csv. 버전 16.0. 후보 검색은 ECLASS 전체 제공 속성, IEC는 적용 IDTA 원본 내 CD 기준.</x:v>
      </x:c>
      <x:c r="C124" s="99"/>
      <x:c r="D124" s="99"/>
      <x:c r="E124" s="99"/>
      <x:c r="F124" s="99"/>
    </x:row>
  </x:sheetData>
  <x:mergeCells>
    <x:mergeCell ref="A1:D1"/>
    <x:mergeCell ref="B3:D3"/>
    <x:mergeCell ref="B4:D4"/>
    <x:mergeCell ref="B5:D5"/>
    <x:mergeCell ref="B6:D6"/>
    <x:mergeCell ref="B7:D7"/>
    <x:mergeCell ref="B8:D8"/>
    <x:mergeCell ref="B9:D9"/>
    <x:mergeCell ref="B10:D10"/>
    <x:mergeCell ref="B11:D11"/>
    <x:mergeCell ref="B124:F124"/>
  </x:mergeCells>
  <x:pageMargins left="0.7" right="0.7" top="0.75" bottom="0.75" header="0.3" footer="0.3"/>
</x:worksheet>
</file>