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e0c05c74b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S Model Checklist Information" sheetId="1" r:id="R850261a8898e4c79"/>
    <x:sheet xmlns:r="http://schemas.openxmlformats.org/officeDocument/2006/relationships" name="AAS Model Checklist" sheetId="2" r:id="R8fa9bf0d048f40fc"/>
    <x:sheet xmlns:r="http://schemas.openxmlformats.org/officeDocument/2006/relationships" name="AAS Model Checklist Result" sheetId="3" r:id="R96aeb79ad5e049cd"/>
    <x:sheet xmlns:r="http://schemas.openxmlformats.org/officeDocument/2006/relationships" name="Additional Considerations" sheetId="4" r:id="R85e31ef6ac9d43d3"/>
    <x:sheet xmlns:r="http://schemas.openxmlformats.org/officeDocument/2006/relationships" name="검토근거" sheetId="5" r:id="Rb9c098f148ca4238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2">
    <x:bk>
      <x:extLst>
        <x:ext uri="{3e2802c4-a4d2-4d8b-9148-e3be6c30e623}">
          <xlrd:rvb xmlns:xlrd="http://schemas.microsoft.com/office/spreadsheetml/2017/richdata" i="0"/>
        </x:ext>
      </x:extLst>
    </x:bk>
    <x:bk>
      <x:extLst>
        <x:ext uri="{3e2802c4-a4d2-4d8b-9148-e3be6c30e623}">
          <xlrd:rvb xmlns:xlrd="http://schemas.microsoft.com/office/spreadsheetml/2017/richdata" i="1"/>
        </x:ext>
      </x:extLst>
    </x:bk>
  </x:futureMetadata>
  <x:valueMetadata count="2">
    <x:bk>
      <x:rc t="1" v="0"/>
    </x:bk>
    <x:bk>
      <x:rc t="1" v="1"/>
    </x:bk>
  </x:valueMetadata>
</x:metadata>
</file>

<file path=xl/sharedStrings.xml><?xml version="1.0" encoding="utf-8"?>
<x:sst xmlns:x="http://schemas.openxmlformats.org/spreadsheetml/2006/main">
  <x:si>
    <x:t xml:space="preserve">AAS Model Checklist Information</x:t>
  </x:si>
  <x:si>
    <x:t xml:space="preserve">분류(대상)</x:t>
  </x:si>
  <x:si>
    <x:t xml:space="preserve">정보</x:t>
  </x:si>
  <x:si>
    <x:t xml:space="preserve">설명</x:t>
  </x:si>
  <x:si>
    <x:t xml:space="preserve">비고</x:t>
  </x:si>
  <x:si>
    <x:t xml:space="preserve">기본정보</x:t>
  </x:si>
  <x:si>
    <x:t xml:space="preserve">* 본 체크리스트는 2026년 중소기업벤처부 과제공고 기준을 대상으로 제작하였습니다.</x:t>
  </x:si>
  <x:si>
    <x:t xml:space="preserve">Id 버전</x:t>
  </x:si>
  <x:si>
    <x:t xml:space="preserve">AAS 모델링시 참조한 표준 및 근거자료에 대한 버전을 확인한다.
예시) CDD 버전, eCl@ss 버전, ETIM 버전 등</x:t>
  </x:si>
  <x:si>
    <x:t xml:space="preserve">IRDI 관련 내용</x:t>
  </x:si>
  <x:si>
    <x: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x:t>
  </x:si>
  <x:si>
    <x:t xml:space="preserve">IRI 양식</x:t>
  </x:si>
  <x:si>
    <x:r>
      <x:rPr>
        <x:sz val="10"/>
        <x:color rgb="FF000000"/>
      </x:rPr>
      <x:t xml:space="preserve">
구조 : 
- Submodel: </x:t>
    </x:r>
    <x:r>
      <x:rPr>
        <x:u val="single"/>
        <x:sz val="10"/>
        <x:color rgb="FF000000"/>
        <x:rFont val="맑은 고딕"/>
        <x:family val="3"/>
      </x:rPr>
      <x:t xml:space="preserve">KOSMO 홈페이지주소/ids/sm/AAS명/Submodel명/version
</x:t>
    </x:r>
    <x:r>
      <x:rPr>
        <x:sz val="10"/>
        <x:color rgb="FF000000"/>
        <x:rFont val="맑은 고딕"/>
        <x:family val="3"/>
        <x:scheme val="minor"/>
      </x:rPr>
      <x:t xml:space="preserve">예시) https://www.smart-factory.kr/ids/sm/ACB/TechnicalData/1/0
- Submodel 외 항목: </x:t>
    </x:r>
    <x:r>
      <x:rPr>
        <x:u val="single"/>
        <x:sz val="10"/>
        <x:color rgb="FF000000"/>
        <x:rFont val="맑은 고딕"/>
        <x:family val="3"/>
        <x:scheme val="minor"/>
      </x:rPr>
      <x:t xml:space="preserve">KOSMO 홈페이지주소/ids/카테고리/변수명/version
</x:t>
    </x:r>
    <x:r>
      <x:rPr>
        <x:sz val="10"/>
        <x:color rgb="FF000000"/>
        <x:rFont val="맑은 고딕"/>
        <x:family val="3"/>
        <x:scheme val="minor"/>
      </x:rPr>
      <x:t xml:space="preserve">예시) https://www.smart-factory.kr/ids/cd/TypeOfActuator/1/0
       https://www.smart-factory.kr/ids/aas/ACB/1/0
</x:t>
    </x:r>
    <x:r>
      <x:rPr>
        <x:sz val="10"/>
        <x:color rgb="FF000000"/>
        <x:rFont val="맑은 고딕"/>
        <x:family val="3"/>
      </x:rPr>
      <x:t xml:space="preserve">* IDTA 표준 서브모델 템플릿을 사용한 경우에는 IRI를 변경하지 않고, 그대로 사용해야 한다. 단, 서브모델의 Id는 IDTA에서 정의한 IRI가 있더라도 중기부에서 정의한 구조를 사용해야 한다.
</x:t>
    </x:r>
    <x:r>
      <x:rPr>
        <x:b/>
        <x:sz val="10"/>
        <x:color rgb="FF000000"/>
        <x:rFont val="맑은 고딕"/>
        <x:family val="2"/>
      </x:rPr>
      <x:t xml:space="preserve">* AAS와 Submodel에 한하여 administration에 버전 정보를 입력하고 ID 뒷부분 '/version' 과 일치 시킬것</x:t>
    </x:r>
    <x:r>
      <x:rPr>
        <x:sz val="10"/>
        <x:color rgb="FF000000"/>
        <x:rFont val="맑은 고딕"/>
        <x:family val="3"/>
      </x:rPr>
      <x:t xml:space="preserve">
</x:t>
    </x:r>
    <x:r>
      <x:rPr>
        <x:sz val="10"/>
        <x:color rgb="FF000000"/>
        <x:rFont val="맑은 고딕"/>
        <x:family val="3"/>
        <x:scheme val="minor"/>
      </x:rPr>
      <x:t xml:space="preserve">
* 용어설명
sm: Submodel
cd : ConceptDescription
aas : AAS
        </x:t>
    </x:r>
  </x:si>
  <x:si>
    <x:t xml:space="preserve">장비특화 Submodel 구성</x:t>
  </x:si>
  <x:si>
    <x:r>
      <x:rPr>
        <x:b/>
        <x:sz val="10"/>
        <x:color rgb="FF0070C0"/>
        <x:rFont val="맑은 고딕"/>
        <x:family val="3"/>
        <x:scheme val="minor"/>
      </x:rPr>
      <x: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x:t>
    </x:r>
    <x:r>
      <x:rPr>
        <x:b/>
        <x:sz val="10"/>
        <x:color rgb="FF0070C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  <x:r>
      <x:rPr>
        <x:b/>
        <x:sz val="10"/>
        <x:color rgb="FF0070C0"/>
        <x:rFont val="맑은 고딕"/>
        <x:family val="2"/>
        <x:scheme val="minor"/>
      </x:rPr>
      <x:t xml:space="preserve">
</x:t>
    </x:r>
  </x:si>
  <x:si>
    <x:t xml:space="preserve">체크리스트
참조/공통체크사항</x:t>
  </x:si>
  <x:si>
    <x:t xml:space="preserve">idShort 설정여부</x:t>
  </x:si>
  <x:si>
    <x:r>
      <x:rPr>
        <x:sz val="10"/>
        <x:color rgb="FF000000"/>
      </x:rPr>
      <x:t xml:space="preserve">idShort가 설정되어 있는지 확인한다.
* Naming rule/Convention (권고사항)
① 공백, 특수문</x:t>
    </x:r>
    <x:r>
      <x:rPr>
        <x:sz val="10"/>
        <x:color rgb="FF000000"/>
        <x:rFont val="맑은 고딕"/>
        <x:family val="3"/>
        <x:scheme val="minor"/>
      </x:rPr>
      <x:t xml:space="preserve">자(‘_’, underbar, </x:t>
    </x:r>
    <x:r>
      <x:rPr>
        <x:sz val="10"/>
        <x:color rgb="FF000000"/>
        <x:rFont val="맑은 고딕"/>
        <x:family val="3"/>
      </x:rPr>
      <x:t xml:space="preserve">‘-‘, hyphen </x:t>
    </x:r>
    <x:r>
      <x:rPr>
        <x:sz val="10"/>
        <x:color rgb="FF000000"/>
        <x:rFont val="맑은 고딕"/>
        <x:family val="3"/>
        <x:scheme val="minor"/>
      </x:rPr>
      <x:t xml:space="preserve">제외)를</x:t>
    </x:r>
    <x:r>
      <x:rPr>
        <x:sz val="10"/>
        <x:color rgb="FF000000"/>
        <x:rFont val="맑은 고딕"/>
        <x:family val="3"/>
        <x:scheme val="minor"/>
      </x:rPr>
      <x:t xml:space="preserve"> 포함하지 않음
② 일관된 표기법 사용 / 예) 모든 단어를 띄어쓰기 없이 대문자로 시작
예시) "Rated voltage" -&gt; "RatedVoltage" 또는 "Rated_Voltage" 등등</x:t>
    </x:r>
  </x:si>
  <x:si>
    <x:t xml:space="preserve">Id</x:t>
  </x:si>
  <x:si>
    <x:t xml:space="preserve">각 항목의 Id 양식을 확인하고, IRDI 형식인지 IRI 형식인지 구분한다.
IRDI인 경우, 해당 항목이 CDD/Ecl@ss에 존재하여야 한다.
IRI인 경우, 정해진 양식을 준수하고 있는지 확인한다.</x:t>
  </x:si>
  <x:si>
    <x:t xml:space="preserve">description 또는 definition 여부</x:t>
  </x:si>
  <x:si>
    <x:t xml:space="preserve"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x:t>
  </x:si>
  <x:si>
    <x:t xml:space="preserve">기타</x:t>
  </x:si>
  <x:si>
    <x:r>
      <x:rPr>
        <x:sz val="10"/>
        <x:color rgb="FF000000"/>
      </x:rPr>
      <x: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x:t>
    </x:r>
    <x:r>
      <x:rPr>
        <x:sz val="10"/>
        <x:color rgb="FF000000"/>
        <x:rFont val="맑은 고딕"/>
        <x:family val="3"/>
      </x:rPr>
      <x:t xml:space="preserve">③ Property의 완성도 및 충실도에 대한 정성적 평가를 진행한다. 즉, 본 체크리스트를 통해 정량적으로 평가하지는 않지만, 이후 전문가들에 의해 Property 개수, Property 의미 등이 정성적으로 평가될 예정이다.</x:t>
    </x:r>
    <x:r>
      <x:rPr>
        <x:sz val="10"/>
        <x:color rgb="FF000000"/>
        <x:rFont val="맑은 고딕"/>
        <x:family val="3"/>
        <x:scheme val="minor"/>
      </x:rPr>
      <x:t xml:space="preserve">
</x:t>
    </x:r>
    <x:r>
      <x:rPr>
        <x:b/>
        <x:sz val="10"/>
        <x:color rgb="FF000000"/>
        <x:rFont val="맑은 고딕"/>
        <x:family val="3"/>
      </x:rPr>
      <x:t xml:space="preserve"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x:t>
    </x:r>
    <x:r>
      <x:rPr>
        <x:sz val="10"/>
        <x:color rgb="FF000000"/>
        <x:rFont val="맑은 고딕"/>
        <x:family val="3"/>
      </x:rPr>
      <x:t xml:space="preserve">
</x:t>
    </x:r>
    <x:r>
      <x:rPr>
        <x:sz val="10"/>
        <x:color rgb="FF000000"/>
        <x:rFont val="맑은 고딕"/>
        <x:family val="2"/>
      </x:rPr>
      <x:t xml:space="preserve">⑤ 모</x:t>
    </x:r>
    <x:r>
      <x:rPr>
        <x:sz val="10"/>
        <x:color rgb="FF000000"/>
        <x:rFont val="맑은 고딕"/>
        <x:family val="3"/>
      </x:rPr>
      <x:t xml:space="preserve">델 제출 시에는 "「AAS 제조데이터 표준 참조모델 사전 검증 보고서」 작성 요령"에 따라 사전 검증보고서를 제출하여야 한다.</x:t>
    </x:r>
  </x:si>
  <x:si>
    <x:t xml:space="preserve">번호</x:t>
  </x:si>
  <x:si>
    <x:t xml:space="preserve">중요도</x:t>
  </x:si>
  <x:si>
    <x:t xml:space="preserve">체크사항</x:t>
  </x:si>
  <x:si>
    <x:t xml:space="preserve">체크</x:t>
  </x:si>
  <x:si>
    <x:t xml:space="preserve">비고 (검토의견)</x:t>
  </x:si>
  <x:si>
    <x:t xml:space="preserve">기본사항</x:t>
  </x:si>
  <x:si>
    <x:t xml:space="preserve">필수</x:t>
  </x:si>
  <x:si>
    <x:t xml:space="preserve">Thumnail</x:t>
  </x:si>
  <x:si>
    <x:t xml:space="preserve">AASX 파일에 Thumbnail 이미지가 포함되어 있으며, AssetInformation의 defaultThumbnail에 동일한 경로가 설정되어 있는지 확인한다.</x:t>
  </x:si>
  <x:si>
    <x:t xml:space="preserve">공통</x:t>
  </x:si>
  <x:si>
    <x:t xml:space="preserve">idShort가 설정되어 있는지 확인한다.</x:t>
  </x:si>
  <x:si>
    <x:t xml:space="preserve">idShort 명명규칙</x:t>
  </x:si>
  <x:si>
    <x:r>
      <x:rPr>
        <x:b/>
        <x:sz val="10"/>
        <x:color rgb="FF000000"/>
      </x:rPr>
      <x:t xml:space="preserve">idShort가 정의된 양식을 준수하고 있는지 확인한다.
※ 예외사항</x:t>
    </x:r>
    <x:r>
      <x:rPr>
        <x:b/>
        <x:sz val="10"/>
        <x:color rgb="FF000000"/>
        <x:rFont val="맑은 고딕"/>
        <x:family val="3"/>
        <x:scheme val="minor"/>
      </x:rPr>
      <x:t xml:space="preserve">
</x:t>
    </x:r>
    <x:r>
      <x:rPr>
        <x:b/>
        <x:sz val="10"/>
        <x:color rgb="FF000000"/>
        <x:rFont val="맑은 고딕"/>
        <x:family val="3"/>
      </x:rPr>
      <x:t xml:space="preserve">Submodel Element List의 하위에 속하는 Submodel Element는 idShort를 작성하지 않아도 되며, 작성하는 경우 명명규칙을 준수하여야 함</x:t>
    </x:r>
  </x:si>
  <x:si>
    <x:t xml:space="preserve">AAS</x:t>
  </x:si>
  <x:si>
    <x:r>
      <x:rPr>
        <x:sz val="10"/>
        <x:color rgb="FF000000"/>
      </x:rPr>
      <x:t xml:space="preserve">각 항목의 Id 양식을 확인하고, IRDI 형식인지 IRI 형식인지 구분한다.
IRI인 경우, 정해진 양식을 준수하고 있는지 확인한다.
</x:t>
    </x:r>
    <x:r>
      <x:rPr>
        <x:b/>
        <x:sz val="10"/>
        <x:color rgb="FF000000"/>
        <x:rFont val="맑은 고딕"/>
        <x:family val="3"/>
      </x:rPr>
      <x:t xml:space="preserve">* administration에 버전 정보를 입력하고 ID 뒷부분 '/version' 과 일치 시킬것</x:t>
    </x:r>
  </x:si>
  <x:si>
    <x:t xml:space="preserve">Submodel 구성</x:t>
  </x:si>
  <x:si>
    <x:r>
      <x:rPr>
        <x:sz val="10"/>
        <x:color rgb="FF000000"/>
      </x:rPr>
      <x:t xml:space="preserve">AAS 모델링에서 필수적인 성격을 지닌 아래의 4가지 Submodel이 포함되어 있으며</x:t>
    </x:r>
    <x:r>
      <x:rPr>
        <x:b/>
        <x:sz val="10"/>
        <x:color rgb="FF000000"/>
        <x:rFont val="맑은 고딕"/>
        <x:family val="3"/>
        <x:scheme val="minor"/>
      </x:rPr>
      <x:t xml:space="preserve"> 총 6종 이상 8종 이하의 Submodel로 구성되어 있는지 확인한다.</x:t>
    </x:r>
    <x:r>
      <x:rPr>
        <x:sz val="10"/>
        <x:color rgb="FF000000"/>
        <x:rFont val="맑은 고딕"/>
        <x:family val="3"/>
        <x:scheme val="minor"/>
      </x:rPr>
      <x:t xml:space="preserve">
① </x:t>
    </x:r>
    <x:r>
      <x:rPr>
        <x:b/>
        <x:sz val="10"/>
        <x:color rgb="FF000000"/>
        <x:rFont val="맑은 고딕"/>
        <x:family val="3"/>
        <x:scheme val="minor"/>
      </x:rPr>
      <x:t xml:space="preserve">Digital Nameplate</x:t>
    </x:r>
    <x:r>
      <x:rPr>
        <x:sz val="10"/>
        <x:color rgb="FF000000"/>
        <x:rFont val="맑은 고딕"/>
        <x:family val="3"/>
        <x:scheme val="minor"/>
      </x:rPr>
      <x:t xml:space="preserve">, ② </x:t>
    </x:r>
    <x:r>
      <x:rPr>
        <x:b/>
        <x:sz val="10"/>
        <x:color rgb="FF000000"/>
        <x:rFont val="맑은 고딕"/>
        <x:family val="3"/>
      </x:rPr>
      <x:t xml:space="preserve">Handover Documentation,</x:t>
    </x:r>
    <x:r>
      <x:rPr>
        <x:sz val="10"/>
        <x:color rgb="FF000000"/>
        <x:rFont val="맑은 고딕"/>
        <x:family val="3"/>
        <x:scheme val="minor"/>
      </x:rPr>
      <x:t xml:space="preserve">
③ Technical Data, ④ </x:t>
    </x:r>
    <x:r>
      <x:rPr>
        <x:sz val="10"/>
        <x:color rgb="FF000000"/>
        <x:rFont val="맑은 고딕"/>
        <x:family val="3"/>
      </x:rPr>
      <x:t xml:space="preserve">Operational Data</x:t>
    </x:r>
  </x:si>
  <x:si>
    <x:t xml:space="preserve">옵션</x:t>
  </x:si>
  <x:si>
    <x:t xml:space="preserve">globalAssetId 여부</x:t>
  </x:si>
  <x:si>
    <x:t xml:space="preserve">globalAssetId가 설정되어 있는지 확인한다.</x:t>
  </x:si>
  <x:si>
    <x:t xml:space="preserve">Type종류</x:t>
  </x:si>
  <x:si>
    <x:t xml:space="preserve">'kind'가 'Type'으로 지정되어 있는지 확인한다.</x:t>
  </x:si>
  <x:si>
    <x:t xml:space="preserve">Submodel</x:t>
  </x:si>
  <x:si>
    <x:t xml:space="preserve">최신 Version 여부</x:t>
  </x:si>
  <x:si>
    <x:t xml:space="preserve">IDTA 서브모델 템플릿을 활용하는 경우, 최신 버전의 템플릿을 사용하고 있는지 확인한다.</x:t>
  </x:si>
  <x:si>
    <x:t xml:space="preserve">Semantic ID</x:t>
  </x:si>
  <x:si>
    <x:r>
      <x:rPr>
        <x:sz val="10"/>
        <x:color rgb="FF000000"/>
      </x:rPr>
      <x:t xml:space="preserve">Semantic ID가 작성되어 있는지 확인한다. 
</x:t>
    </x:r>
    <x:r>
      <x:rPr>
        <x:sz val="10"/>
        <x:color rgb="FF000000"/>
        <x:rFont val="맑은 고딕"/>
        <x:family val="3"/>
      </x:rPr>
      <x:t xml:space="preserve">표준 서브모델이 아닌 경우, 적절한 형식의 IRI 식별자인지 확인한다.</x:t>
    </x:r>
  </x:si>
  <x:si>
    <x:t xml:space="preserve">kind</x:t>
  </x:si>
  <x:si>
    <x:t xml:space="preserve">'kind'가 'Template'으로 지정되어 있는지 확인한다</x:t>
  </x:si>
  <x:si>
    <x:t xml:space="preserve">계층 세분화</x:t>
  </x:si>
  <x:si>
    <x:r>
      <x:rPr>
        <x:b/>
        <x:sz val="10"/>
        <x:color rgb="FF000000"/>
      </x:rPr>
      <x: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x:t>
    </x:r>
    <x:r>
      <x:rPr>
        <x:b/>
        <x:sz val="10"/>
        <x:color rgb="FF00000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</x:si>
  <x:si>
    <x:t xml:space="preserve">SME
(Submodel Element) </x:t>
  </x:si>
  <x:si>
    <x:t xml:space="preserve">특수 SME 배제 여부</x:t>
  </x:si>
  <x:si>
    <x:r>
      <x:rPr>
        <x:b/>
        <x:sz val="10"/>
        <x:color rgb="FF000000"/>
      </x:rPr>
      <x:t xml:space="preserve">AAS 참조모델 개발 시 사용을 지양하는 Operation, BasicEventElement, </x:t>
    </x:r>
    <x:r>
      <x:rPr>
        <x:b/>
        <x:sz val="10"/>
        <x:color rgb="FF000000"/>
        <x:rFont val="맑은 고딕"/>
        <x:family val="3"/>
      </x:rPr>
      <x:t xml:space="preserve">Capability </x:t>
    </x:r>
    <x:r>
      <x:rPr>
        <x:b/>
        <x:sz val="10"/>
        <x:color rgb="FF000000"/>
        <x:rFont val="맑은 고딕"/>
        <x:family val="3"/>
        <x:scheme val="minor"/>
      </x:rPr>
      <x:t xml:space="preserve">엘리먼트가 사용되지 않았는지 확인한다.</x:t>
    </x:r>
  </x:si>
  <x:si>
    <x:t xml:space="preserve">Concept Description 매핑여부</x:t>
  </x:si>
  <x:si>
    <x:t xml:space="preserve">Submodel Elements가 Concept Description과 올바르게 매핑되어 있는지 확인한다 </x:t>
  </x:si>
  <x:si>
    <x:t xml:space="preserve">SME 중
Property</x:t>
  </x:si>
  <x:si>
    <x:t xml:space="preserve">value 값 여부</x:t>
  </x:si>
  <x:si>
    <x:r>
      <x:rPr>
        <x:b/>
        <x:sz val="10"/>
        <x:color rgb="FF000000"/>
      </x:rPr>
      <x:t xml:space="preserve">value값에 Example Data가 기입 되었는지 확인한다. 
</x:t>
    </x:r>
    <x:r>
      <x:rPr>
        <x:b/>
        <x:sz val="10"/>
        <x:color rgb="FF000000"/>
        <x:rFont val="맑은 고딕"/>
        <x:family val="3"/>
      </x:rPr>
      <x:t xml:space="preserve">* DigitalNameplate, HandoverDocumentation 제외</x:t>
    </x:r>
  </x:si>
  <x:si>
    <x:t xml:space="preserve">Concept Description과 
data type 매칭여부</x:t>
  </x:si>
  <x:si>
    <x:t xml:space="preserve">valueType이 설정되어야 하며, 
연결된 Concept Description의 dataType과 매칭되는 데이터 타입으로 설정되어야 한다</x:t>
  </x:si>
  <x:si>
    <x:t xml:space="preserve">ConceptDescription</x:t>
  </x:si>
  <x:si>
    <x:t xml:space="preserve">각 항목의 Id 양식을 확인하고, IRDI 형식인지 IRI 형식인지 구분한다.
* IRDI인 경우, 해당 항목이 CDD/Ecl@ss에 존재하여야 한다.
* IRI인 경우, 정해진 양식을 준수하고 있는지 확인한다.</x:t>
  </x:si>
  <x:si>
    <x:t xml:space="preserve">definition 여부</x:t>
  </x:si>
  <x:si>
    <x:t xml:space="preserve">해당 항목에 대한 definition이 작성되어 있는지 확인한다.
* description이 작성되어 있는 경우도 포함</x:t>
  </x:si>
  <x:si>
    <x:t xml:space="preserve">dataType 설정여부</x:t>
  </x:si>
  <x:si>
    <x:t xml:space="preserve">Concept Description의 dataType이 설정되어 있는지 확인한다
* eCl@ss/CDD에서 dataType이 정의되어 있지 않은 경우는 제외</x:t>
  </x:si>
  <x:si>
    <x:t xml:space="preserve"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x:t>
  </x:si>
  <x:si>
    <x:t xml:space="preserve">합계</x:t>
  </x:si>
  <x:si>
    <x:t xml:space="preserve">분류</x:t>
  </x:si>
  <x:si>
    <x:t xml:space="preserve">기준항목</x:t>
  </x:si>
  <x:si>
    <x:t xml:space="preserve">세부항목</x:t>
  </x:si>
  <x:si>
    <x:t xml:space="preserve">개수</x:t>
  </x:si>
  <x:si>
    <x:t xml:space="preserve">%</x:t>
  </x:si>
  <x:si>
    <x:t xml:space="preserve">단순통계</x:t>
  </x:si>
  <x:si>
    <x:t xml:space="preserve">체크사항 충족 항목</x:t>
  </x:si>
  <x:si>
    <x:t xml:space="preserve">-</x:t>
  </x:si>
  <x:si>
    <x:t xml:space="preserve">총 체크사항</x:t>
  </x:si>
  <x:si>
    <x:t xml:space="preserve">'중요도'기준 통계</x:t>
  </x:si>
  <x:si>
    <x:r>
      <x:rPr>
        <x:sz val="10"/>
        <x:color rgb="FF000000"/>
      </x:rPr>
      <x:t xml:space="preserve">"필수" 中 </x:t>
    </x:r>
    <x:r>
      <x:rPr>
        <x:sz val="10"/>
        <x:color rgb="FF000000"/>
        <x:rFont val="Wingdings"/>
        <x:family val="2"/>
      </x:rPr>
      <x:t xml:space="preserve"></x:t>
    </x:r>
  </x:si>
  <x:si>
    <x:t xml:space="preserve">필수 체크사항 충족 항목</x:t>
  </x:si>
  <x:si>
    <x:r>
      <x:rPr>
        <x:sz val="10"/>
        <x:color rgb="FF000000"/>
      </x:rPr>
      <x:t xml:space="preserve">"필수" 中 </x:t>
    </x:r>
    <x:r>
      <x:rPr>
        <x:sz val="10"/>
        <x:color rgb="FF000000"/>
        <x:rFont val="Wingdings"/>
        <x:family val="2"/>
      </x:rPr>
      <x:t xml:space="preserve"></x:t>
    </x:r>
  </x:si>
  <x:si>
    <x:r>
      <x:rPr>
        <x:sz val="10"/>
        <x:color rgb="FF000000"/>
      </x:rPr>
      <x:t xml:space="preserve">"옵션" 中 </x:t>
    </x:r>
    <x:r>
      <x:rPr>
        <x:sz val="10"/>
        <x:color rgb="FF000000"/>
        <x:rFont val="Wingdings"/>
        <x:family val="2"/>
      </x:rPr>
      <x:t xml:space="preserve"></x:t>
    </x:r>
  </x:si>
  <x:si>
    <x:t xml:space="preserve">옵션 체크사항 충족 항목</x:t>
  </x:si>
  <x:si>
    <x:r>
      <x:rPr>
        <x:sz val="10"/>
        <x:color rgb="FF000000"/>
      </x:rPr>
      <x:t xml:space="preserve">"옵션" 中 </x:t>
    </x:r>
    <x:r>
      <x:rPr>
        <x:sz val="10"/>
        <x:color rgb="FF000000"/>
        <x:rFont val="Wingdings"/>
        <x:family val="2"/>
      </x:rPr>
      <x:t xml:space="preserve"></x:t>
    </x:r>
  </x:si>
</x:sst>
</file>

<file path=xl/styles.xml><?xml version="1.0" encoding="utf-8"?>
<x:styleSheet xmlns:x="http://schemas.openxmlformats.org/spreadsheetml/2006/main">
  <x:fonts count="31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맑은 고딕"/>
    </x:font>
    <x:font>
      <x:b/>
      <x:sz val="10"/>
      <x:color theme="0"/>
      <x:name val="맑은 고딕"/>
    </x:font>
    <x:font>
      <x:sz val="10"/>
      <x:color theme="1"/>
      <x:name val="맑은 고딕"/>
    </x:font>
    <x:font>
      <x:b/>
      <x:sz val="10"/>
      <x:color theme="1"/>
      <x:name val="맑은 고딕"/>
    </x:font>
    <x:font>
      <x:sz val="10"/>
      <x:color rgb="FF000000"/>
      <x:name val="맑은 고딕"/>
    </x:font>
    <x:font>
      <x:sz val="10"/>
      <x:color theme="1"/>
      <x:name val="Arial Unicode MS"/>
    </x:font>
    <x:font>
      <x:sz val="10"/>
      <x:color theme="1"/>
      <x:name val="맑은 고딕"/>
    </x:font>
    <x:font>
      <x:b/>
      <x:sz val="14"/>
      <x:color theme="0"/>
      <x:name val="맑은 고딕"/>
    </x:font>
    <x:font>
      <x:sz val="10"/>
      <x:color theme="1"/>
      <x:name val="Wingdings"/>
    </x:font>
    <x:font>
      <x:sz val="10"/>
      <x:color theme="1"/>
      <x:name val="맑은 고딕"/>
    </x:font>
    <x:font>
      <x:sz val="11"/>
      <x:color rgb="FF00B050"/>
      <x:name val="맑은 고딕"/>
    </x:font>
    <x:font>
      <x:sz val="10"/>
      <x:color rgb="FF00B050"/>
      <x:name val="맑은 고딕"/>
    </x:font>
    <x:font>
      <x:sz val="11"/>
      <x:color rgb="FF00B050"/>
      <x:name val="맑은 고딕"/>
    </x:font>
    <x:font>
      <x:sz val="11"/>
      <x:name val="맑은 고딕"/>
    </x:font>
    <x:font>
      <x:b/>
      <x:sz val="11"/>
      <x:color theme="1"/>
      <x:name val="맑은 고딕"/>
    </x:font>
    <x:font>
      <x:b/>
      <x:sz val="16"/>
      <x:color theme="0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b/>
      <x:sz val="10"/>
      <x:color theme="1"/>
      <x:name val="Arial Unicode MS"/>
    </x:font>
    <x:font>
      <x:b/>
      <x:sz val="10"/>
      <x:color rgb="FF0070C0"/>
      <x:name val="맑은 고딕"/>
    </x:font>
    <x:font>
      <x:sz val="10"/>
      <x:color theme="1"/>
      <x:name val="맑은 고딕"/>
    </x:font>
    <x:font>
      <x:b/>
      <x:sz val="10"/>
      <x:color rgb="FF0070C0"/>
      <x:name val="맑은 고딕"/>
    </x:font>
    <x:font>
      <x:b/>
      <x:sz val="10"/>
      <x:color theme="1"/>
      <x:name val="맑은 고딕"/>
    </x:font>
    <x:font>
      <x:b/>
      <x:sz val="10"/>
      <x:color theme="1"/>
      <x:name val="맑은 고딕"/>
    </x:font>
    <x:font>
      <x:b/>
      <x:sz val="10"/>
      <x:color rgb="FFFF0000"/>
      <x:name val="맑은 고딕"/>
    </x:font>
    <x:font>
      <x:b/>
      <x:sz val="10"/>
      <x:color rgb="FFFF0000"/>
      <x:name val="맑은 고딕"/>
    </x:font>
    <x:font>
      <x:sz val="10"/>
      <x:color rgb="FFFF0000"/>
      <x:name val="맑은 고딕"/>
    </x:font>
    <x:font>
      <x:b/>
      <x:sz val="11"/>
      <x:color rgb="FFFFFFFF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0000FF"/>
      </x:patternFill>
    </x:fill>
    <x:fill>
      <x:patternFill patternType="solid">
        <x:fgColor rgb="FFC0CCFF"/>
      </x:patternFill>
    </x:fill>
    <x:fill>
      <x:patternFill patternType="solid">
        <x:fgColor theme="0" tint="-0.15"/>
      </x:patternFill>
    </x:fill>
    <x:fill>
      <x:patternFill patternType="solid">
        <x:fgColor rgb="FFFFFF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</x:borders>
  <x:cellStyleXfs count="2">
    <x:xf numFmtId="0" fontId="0" fillId="0" borderId="0">
      <x:alignment vertical="center"/>
    </x:xf>
    <x:xf numFmtId="0" fontId="1" fillId="2" borderId="1" applyNumberFormat="0" applyFont="0" applyAlignment="0" applyProtection="0">
      <x:alignment vertical="center"/>
    </x:xf>
  </x:cellStyleXfs>
  <x:cellXfs count="116">
    <x:xf numFmtId="0" fontId="0" fillId="0" borderId="0" xfId="0">
      <x:alignment vertical="center"/>
    </x:xf>
    <x:xf numFmtId="0" fontId="5" fillId="4" borderId="2" xfId="0" applyFont="1" applyFill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x:xf numFmtId="0" fontId="4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3" fillId="0" borderId="0" xfId="0" applyFont="1">
      <x:alignment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0" fillId="0" borderId="0" xfId="0" applyAlignment="1">
      <x:alignment horizontal="center" vertical="center"/>
    </x:xf>
    <x:xf numFmtId="0" fontId="12" fillId="0" borderId="0" xfId="0" applyFont="1">
      <x:alignment vertical="center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16" fillId="4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3" fillId="0" borderId="0" xfId="0" applyFont="1" applyAlignment="1">
      <x:alignment vertical="center" wrapText="1"/>
    </x:xf>
    <x:xf numFmtId="0" fontId="10" fillId="0" borderId="0" xfId="0" applyFont="1">
      <x:alignment vertical="center"/>
    </x:xf>
    <x:xf numFmtId="0" fontId="18" fillId="0" borderId="2" xfId="0" applyFont="1" applyBorder="1" applyAlignment="1">
      <x:alignment horizontal="center" vertical="center"/>
    </x:xf>
    <x:xf numFmtId="0" fontId="18" fillId="6" borderId="2" xfId="0" applyFont="1" applyFill="1" applyBorder="1" applyAlignment="1">
      <x:alignment horizontal="center" vertical="center"/>
    </x:xf>
    <x:xf numFmtId="0" fontId="4" fillId="0" borderId="2" xfId="0" applyFont="1" applyBorder="1">
      <x:alignment vertical="center"/>
    </x:xf>
    <x:xf numFmtId="0" fontId="6" fillId="0" borderId="2" xfId="0" applyFont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0" fontId="18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vertical="center" wrapText="1"/>
    </x:xf>
    <x:xf numFmtId="0" fontId="8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" fillId="0" borderId="2" xfId="0" applyFont="1" applyBorder="1" applyAlignment="1">
      <x:alignment horizontal="center" vertical="center"/>
    </x:xf>
    <x:xf numFmtId="0" fontId="11" fillId="0" borderId="2" xfId="0" applyFont="1" applyBorder="1" applyAlignment="1">
      <x:alignment vertical="center" wrapText="1"/>
    </x:xf>
    <x:xf numFmtId="0" fontId="22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center" vertical="center" wrapText="1"/>
    </x:xf>
    <x:xf numFmtId="0" fontId="11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9" fillId="3" borderId="6" xfId="0" applyFont="1" applyFill="1" applyBorder="1" applyAlignment="1">
      <x:alignment horizontal="center" vertical="center"/>
    </x:xf>
    <x:xf numFmtId="0" fontId="9" fillId="3" borderId="7" xfId="0" applyFont="1" applyFill="1" applyBorder="1" applyAlignment="1">
      <x:alignment horizontal="center" vertical="center"/>
    </x:xf>
    <x:xf numFmtId="0" fontId="9" fillId="3" borderId="8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/>
    </x:xf>
    <x:xf numFmtId="49" fontId="4" fillId="0" borderId="6" xfId="0" applyNumberFormat="1" applyFont="1" applyBorder="1" applyAlignment="1">
      <x:alignment horizontal="left" vertical="center" wrapText="1"/>
    </x:xf>
    <x:xf numFmtId="49" fontId="4" fillId="0" borderId="7" xfId="0" applyNumberFormat="1" applyFont="1" applyBorder="1" applyAlignment="1">
      <x:alignment horizontal="left" vertical="center"/>
    </x:xf>
    <x:xf numFmtId="49" fontId="4" fillId="0" borderId="8" xfId="0" applyNumberFormat="1" applyFont="1" applyBorder="1" applyAlignment="1">
      <x:alignment horizontal="left" vertical="center"/>
    </x:xf>
    <x:xf numFmtId="0" fontId="5" fillId="5" borderId="3" xfId="0" applyFont="1" applyFill="1" applyBorder="1" applyAlignment="1">
      <x:alignment horizontal="center" vertical="center" wrapText="1"/>
    </x:xf>
    <x:xf numFmtId="0" fontId="5" fillId="5" borderId="5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9" fillId="3" borderId="9" xfId="0" applyFont="1" applyFill="1" applyBorder="1" applyAlignment="1">
      <x:alignment horizontal="center" vertical="center"/>
    </x:xf>
    <x:xf numFmtId="0" fontId="9" fillId="3" borderId="0" xfId="0" applyFont="1" applyFill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2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0" fontId="17" fillId="3" borderId="2" xfId="0" applyFont="1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16" fillId="4" borderId="2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16" fillId="4" borderId="3" xfId="0" applyFont="1" applyFill="1" applyBorder="1" applyAlignment="1">
      <x:alignment horizontal="center" vertical="center"/>
    </x:xf>
    <x:xf numFmtId="0" fontId="0" fillId="4" borderId="5" xfId="0" applyFill="1" applyBorder="1" applyAlignment="1">
      <x:alignment horizontal="center" vertical="center"/>
    </x:xf>
    <x:xf numFmtId="0" fontId="27" fillId="0" borderId="2" xfId="0" applyFont="1" applyBorder="1" applyAlignment="1">
      <x:alignment horizontal="left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16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30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vertical="center" wrapText="1"/>
    </x:xf>
    <x:xf numFmtId="0" fontId="27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horizontal="left" vertical="center" wrapText="1"/>
    </x:xf>
    <x:xf numFmtId="0" fontId="6" fillId="9" borderId="2" xfId="0" applyNumberFormat="1" applyFont="1" applyFill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7" fillId="3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</x:cellXfs>
  <x:cellStyles count="2">
    <x:cellStyle name="메모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3d2fba1c94b04" /><Relationship Type="http://schemas.openxmlformats.org/officeDocument/2006/relationships/theme" Target="/xl/theme/theme1.xml" Id="R7c90a67e69d04c7f" /><Relationship Type="http://schemas.openxmlformats.org/officeDocument/2006/relationships/sheetMetadata" Target="/xl/metadata1.xml" Id="R159653e3e8c14460" /><Relationship Type="http://schemas.microsoft.com/office/2017/06/relationships/rdRichValueStructure" Target="/xl/richData/rdrichvaluestructure.xml" Id="R296161363f6045b3" /><Relationship Type="http://schemas.microsoft.com/office/2017/06/relationships/rdRichValue" Target="/xl/richData/rdrichvalue.xml" Id="Rf7a29a9f68b84d3a" /><Relationship Type="http://schemas.microsoft.com/office/2017/06/relationships/rdRichValueTypes" Target="/xl/richData/rdRichValueTypes.xml" Id="Rf41546a017014373" /><Relationship Type="http://schemas.microsoft.com/office/2022/11/relationships/FeaturePropertyBag" Target="/xl/featurePropertyBag/featurePropertyBag.xml" Id="Rabfbd4d966f74a87" /><Relationship Type="http://schemas.openxmlformats.org/officeDocument/2006/relationships/sharedStrings" Target="/xl/sharedStrings.xml" Id="R64361c8451d941bd" /><Relationship Type="http://schemas.openxmlformats.org/officeDocument/2006/relationships/worksheet" Target="/xl/worksheets/sheet1.xml" Id="R850261a8898e4c79" /><Relationship Type="http://schemas.openxmlformats.org/officeDocument/2006/relationships/worksheet" Target="/xl/worksheets/sheet2.xml" Id="R8fa9bf0d048f40fc" /><Relationship Type="http://schemas.openxmlformats.org/officeDocument/2006/relationships/worksheet" Target="/xl/worksheets/sheet3.xml" Id="R96aeb79ad5e049cd" /><Relationship Type="http://schemas.openxmlformats.org/officeDocument/2006/relationships/worksheet" Target="/xl/worksheets/sheet4.xml" Id="R85e31ef6ac9d43d3" /><Relationship Type="http://schemas.openxmlformats.org/officeDocument/2006/relationships/worksheet" Target="/xl/worksheets/sheet5.xml" Id="Rb9c098f148ca42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df8762d891f42b8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8762d891f42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richData/rdRichValueTypes.xml><?xml version="1.0" encoding="utf-8"?>
<xlrd2:rvTypesInfo xmlns:xlrd2="http://schemas.microsoft.com/office/spreadsheetml/2017/richdata2">
  <xlrd2:global>
    <xlrd2:keyFlags>
      <xlrd2:key name="_Self">
        <xlrd2:flag name="ExcludeFromFile" value="1"/>
        <xlrd2:flag name="ExcludeFromCalcComparison" value="1"/>
      </xlrd2:key>
      <xlrd2:key name="_DisplayString">
        <xlrd2:flag name="ExcludeFromCalcComparison" value="1"/>
      </xlrd2:key>
      <xlrd2:key name="_Flags">
        <xlrd2:flag name="ExcludeFromCalcComparison" value="1"/>
      </xlrd2:key>
      <xlrd2:key name="_Format">
        <xlrd2:flag name="ExcludeFromCalcComparison" value="1"/>
      </xlrd2:key>
      <xlrd2:key name="_SubLabel">
        <xlrd2:flag name="ExcludeFromCalcComparison" value="1"/>
      </xlrd2:key>
      <xlrd2:key name="_Attribution">
        <xlrd2:flag name="ExcludeFromCalcComparison" value="1"/>
      </xlrd2:key>
      <xlrd2:key name="_Icon">
        <xlrd2:flag name="ExcludeFromCalcComparison" value="1"/>
      </xlrd2:key>
      <xlrd2:key name="_Display">
        <xlrd2:flag name="ExcludeFromCalcComparison" value="1"/>
      </xlrd2:key>
      <xlrd2:key name="_CanonicalPropertyNames">
        <xlrd2:flag name="ExcludeFromCalcComparison" value="1"/>
      </xlrd2:key>
      <xlrd2:key name="_ClassificationId">
        <xlrd2:flag name="ExcludeFromCalcComparison" value="1"/>
      </xlrd2:key>
    </xlrd2:keyFlags>
  </xlrd2:global>
</xlrd2:rvTypesInfo>
</file>

<file path=xl/richData/rdrichvalue.xml><?xml version="1.0" encoding="utf-8"?>
<xlrd:rvData xmlns:xlrd="http://schemas.microsoft.com/office/spreadsheetml/2017/richdata" count="2">
  <xlrd:rv s="0">
    <xlrd:v>0</xlrd:v>
    <xlrd:v>5</xlrd:v>
  </xlrd:rv>
  <xlrd:rv s="0">
    <xlrd:v>1</xlrd:v>
    <xlrd:v>5</xlrd:v>
  </xlrd:rv>
</xlrd:rvData>
</file>

<file path=xl/richData/rdrichvaluestructure.xml><?xml version="1.0" encoding="utf-8"?>
<xlrd:rvStructures xmlns:xlrd="http://schemas.microsoft.com/office/spreadsheetml/2017/richdata" count="1">
  <xlrd:s t="_localImage">
    <xlrd:k n="_rvRel:LocalImageIdentifier" t="i"/>
    <xlrd:k n="CalcOrigin" t="i"/>
  </xlrd:s>
</xlrd: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cac22aa1a9449e" /></Relationships>
</file>

<file path=xl/worksheets/sheet1.xml><?xml version="1.0" encoding="utf-8"?>
<x:worksheet xmlns:x="http://schemas.openxmlformats.org/spreadsheetml/2006/main">
  <x:sheetFormatPr baseColWidth="10" defaultColWidth="8.83203125" defaultRowHeight="17"/>
  <x:cols>
    <x:col min="1" max="1" width="15.5" style="8" customWidth="1"/>
    <x:col min="2" max="2" width="26.5" style="8" customWidth="1"/>
    <x:col min="3" max="3" width="62.5" style="8" customWidth="1"/>
    <x:col min="4" max="4" width="65" style="8" customWidth="1"/>
    <x:col min="5" max="5" width="8.83203125" customWidth="1"/>
    <x:col min="6" max="6" width="8.83203125" style="20" customWidth="1"/>
  </x:cols>
  <x:sheetData>
    <x:row r="1" ht="20">
      <x:c r="A1" s="50" t="s">
        <x:v>0</x:v>
      </x:c>
      <x:c r="B1" s="51"/>
      <x:c r="C1" s="51"/>
      <x:c r="D1" s="52"/>
    </x:row>
    <x:row r="2">
      <x:c r="A2" s="1" t="s">
        <x:v>1</x:v>
      </x:c>
      <x:c r="B2" s="1" t="s">
        <x:v>2</x:v>
      </x:c>
      <x:c r="C2" s="2" t="s">
        <x:v>3</x:v>
      </x:c>
      <x:c r="D2" s="1" t="s">
        <x:v>4</x:v>
      </x:c>
    </x:row>
    <x:row r="3" ht="44.25" customHeight="1">
      <x:c r="A3" s="57" t="s">
        <x:v>5</x:v>
      </x:c>
      <x:c r="B3" s="55" t="s">
        <x:v>6</x:v>
      </x:c>
      <x:c r="C3" s="56"/>
      <x:c r="D3" s="46" t="str" vm="1"/>
    </x:row>
    <x:row r="4" ht="51" customHeight="1">
      <x:c r="A4" s="58"/>
      <x:c r="B4" s="4" t="s">
        <x:v>7</x:v>
      </x:c>
      <x:c r="C4" s="6" t="s">
        <x:v>8</x:v>
      </x:c>
      <x:c r="D4" s="9"/>
    </x:row>
    <x:row r="5" ht="78" customHeight="1">
      <x:c r="A5" s="58"/>
      <x:c r="B5" s="10" t="s">
        <x:v>9</x:v>
      </x:c>
      <x:c r="C5" s="6" t="s">
        <x:v>10</x:v>
      </x:c>
      <x:c r="D5" s="9"/>
    </x:row>
    <x:row r="6" ht="335">
      <x:c r="A6" s="58"/>
      <x:c r="B6" s="4" t="s">
        <x:v>11</x:v>
      </x:c>
      <x:c r="C6" s="6" t="s">
        <x:v>12</x:v>
      </x:c>
      <x:c r="D6" s="4"/>
      <x:c r="F6" s="21"/>
    </x:row>
    <x:row r="7" ht="182.5" customHeight="1">
      <x:c r="A7" s="59"/>
      <x:c r="B7" s="9" t="s">
        <x:v>13</x:v>
      </x:c>
      <x:c r="C7" s="45" t="s">
        <x:v>14</x:v>
      </x:c>
      <x:c r="D7" s="11" t="str" vm="2"/>
      <x:c r="F7" s="21"/>
    </x:row>
    <x:row r="8" ht="112">
      <x:c r="A8" s="53" t="s">
        <x:v>15</x:v>
      </x:c>
      <x:c r="B8" s="4" t="s">
        <x:v>16</x:v>
      </x:c>
      <x:c r="C8" s="7" t="s">
        <x:v>17</x:v>
      </x:c>
      <x:c r="D8" s="4"/>
    </x:row>
    <x:row r="9" ht="61.5" customHeight="1">
      <x:c r="A9" s="54"/>
      <x:c r="B9" s="4" t="s">
        <x:v>18</x:v>
      </x:c>
      <x:c r="C9" s="6" t="s">
        <x:v>19</x:v>
      </x:c>
      <x:c r="D9" s="4"/>
    </x:row>
    <x:row r="10" ht="112">
      <x:c r="A10" s="54"/>
      <x:c r="B10" s="4" t="s">
        <x:v>20</x:v>
      </x:c>
      <x:c r="C10" s="47" t="s">
        <x:v>21</x:v>
      </x:c>
      <x:c r="D10" s="4"/>
    </x:row>
    <x:row r="11" ht="288">
      <x:c r="A11" s="54"/>
      <x:c r="B11" s="4" t="s">
        <x:v>22</x:v>
      </x:c>
      <x:c r="C11" s="41" t="s">
        <x:v>23</x:v>
      </x:c>
      <x:c r="D11" s="4"/>
    </x:row>
    <x:row r="16">
      <x:c r="B16"/>
    </x:row>
  </x:sheetData>
  <x:mergeCells>
    <x:mergeCell ref="A1:D1"/>
    <x:mergeCell ref="A8:A11"/>
    <x:mergeCell ref="B3:C3"/>
    <x:mergeCell ref="A3:A7"/>
  </x:mergeCells>
  <x:pageMargins left="0.7" right="0.7" top="0.75" bottom="0.75" header="0.3" footer="0.3"/>
  <x:drawing xmlns:r="http://schemas.openxmlformats.org/officeDocument/2006/relationships" r:id="R8acac22aa1a944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7"/>
  <x:cols>
    <x:col min="1" max="1" width="17.5" style="13" customWidth="1"/>
    <x:col min="2" max="2" width="4.5" style="13" customWidth="1"/>
    <x:col min="3" max="3" width="6.33203125" style="13" customWidth="1"/>
    <x:col min="4" max="4" width="26.5" style="13" customWidth="1"/>
    <x:col min="5" max="5" width="71.33203125" style="13" customWidth="1"/>
    <x:col min="6" max="6" width="10" style="13" customWidth="1"/>
    <x:col min="7" max="7" width="88" style="32" hidden="0" customWidth="1"/>
    <x:col min="8" max="8" width="12" hidden="0" customWidth="1"/>
    <x:col min="9" max="9" width="107.33203125" style="22" customWidth="1"/>
    <x:col min="10" max="10" width="13" style="24" customWidth="1"/>
    <x:col min="11" max="11" width="39.5" customWidth="1"/>
  </x:cols>
  <x:sheetData>
    <x:row r="1" ht="20">
      <x:c r="A1" s="50" t="str">
        <x:v>샌드쿨러 AAS 정량적 검토 체크리스트</x:v>
      </x:c>
      <x:c r="B1" s="51"/>
      <x:c r="C1" s="51"/>
      <x:c r="D1" s="51"/>
      <x:c r="E1" s="51"/>
      <x:c r="F1" s="51"/>
      <x:c r="G1" s="52"/>
      <x:c r="I1" s="29"/>
      <x:c r="K1" s="24"/>
    </x:row>
    <x:row r="2">
      <x:c r="A2" s="1" t="s">
        <x:v>1</x:v>
      </x:c>
      <x:c r="B2" s="1" t="s">
        <x:v>24</x:v>
      </x:c>
      <x:c r="C2" s="1" t="s">
        <x:v>25</x:v>
      </x:c>
      <x:c r="D2" s="1" t="s">
        <x:v>26</x:v>
      </x:c>
      <x:c r="E2" s="2" t="s">
        <x:v>3</x:v>
      </x:c>
      <x:c r="F2" s="2" t="s">
        <x:v>27</x:v>
      </x:c>
      <x:c r="G2" s="89" t="s">
        <x:v>28</x:v>
      </x:c>
      <x:c r="H2" t="str">
        <x:v>충족 집계</x:v>
      </x:c>
      <x:c r="K2" s="25"/>
    </x:row>
    <x:row r="3" ht="70" hidden="0" customHeight="1">
      <x:c r="A3" s="3" t="s">
        <x:v>29</x:v>
      </x:c>
      <x:c r="B3" s="4">
        <x:v>1</x:v>
      </x:c>
      <x:c r="C3" s="4" t="s">
        <x:v>30</x:v>
      </x:c>
      <x:c r="D3" s="4" t="s">
        <x:v>31</x:v>
      </x:c>
      <x:c r="E3" s="101" t="s">
        <x:v>32</x:v>
      </x:c>
      <x:c r="F3" s="102" t="b">
        <x:v>1</x:v>
      </x:c>
      <x:c r="G3" s="104" t="str">
        <x:v>대표 AI 생성 샌드쿨러 이미지가 패키지에 포함되고 defaultThumbnail 경로가 연결됨. 최신 KOSMO-AAS #1 Passed.</x:v>
      </x:c>
      <x:c r="H3" t="n">
        <x:f>IF(F3,1,0)</x:f>
        <x:v>1</x:v>
      </x:c>
      <x:c r="K3" s="25"/>
    </x:row>
    <x:row r="4" ht="70" hidden="0" customHeight="1">
      <x:c r="A4" s="57" t="s">
        <x:v>33</x:v>
      </x:c>
      <x:c r="B4" s="9">
        <x:v>2</x:v>
      </x:c>
      <x:c r="C4" s="9" t="s">
        <x:v>30</x:v>
      </x:c>
      <x:c r="D4" s="9" t="s">
        <x:v>16</x:v>
      </x:c>
      <x:c r="E4" s="103" t="s">
        <x:v>34</x:v>
      </x:c>
      <x:c r="F4" s="102" t="b">
        <x:v>1</x:v>
      </x:c>
      <x:c r="G4" s="104" t="str">
        <x:v>필수 idShort 설정 확인. SML 직속 항목의 idShort 생략은 AAS 목록 규칙에 따른 예외이며 누락 오류로 보지 않음.</x:v>
      </x:c>
      <x:c r="H4" t="n">
        <x:f>IF(F4,1,0)</x:f>
        <x:v>1</x:v>
      </x:c>
      <x:c r="K4" s="25"/>
    </x:row>
    <x:row r="5" ht="70" hidden="0" customHeight="1">
      <x:c r="A5" s="59"/>
      <x:c r="B5" s="9">
        <x:v>3</x:v>
      </x:c>
      <x:c r="C5" s="9" t="s">
        <x:v>30</x:v>
      </x:c>
      <x:c r="D5" s="9" t="s">
        <x:v>35</x:v>
      </x:c>
      <x:c r="E5" s="103" t="s">
        <x:v>36</x:v>
      </x:c>
      <x:c r="F5" s="102" t="b">
        <x:v>1</x:v>
      </x:c>
      <x:c r="G5" s="104" t="str">
        <x:v>명명규칙 및 형제 idShort 중복 검사 통과. 목록 항목은 인덱스로 구분하며 문서 Explanation에서 의미를 설명함.</x:v>
      </x:c>
      <x:c r="H5" t="n">
        <x:f>IF(F5,1,0)</x:f>
        <x:v>1</x:v>
      </x:c>
      <x:c r="K5" s="25"/>
    </x:row>
    <x:row r="6" ht="70" hidden="0" customHeight="1">
      <x:c r="A6" s="57" t="s">
        <x:v>37</x:v>
      </x:c>
      <x:c r="B6" s="4">
        <x:v>4</x:v>
      </x:c>
      <x:c r="C6" s="4" t="s">
        <x:v>30</x:v>
      </x:c>
      <x:c r="D6" s="4" t="s">
        <x:v>18</x:v>
      </x:c>
      <x:c r="E6" s="91" t="s">
        <x:v>38</x:v>
      </x:c>
      <x:c r="F6" s="102" t="b">
        <x:v>1</x:v>
      </x:c>
      <x:c r="G6" s="105" t="str">
        <x:v>AAS의 장비 고유 IRI 및 administration 버전과 식별자 말미 일치. 제출 모델 파일명은 SandCooler_AAS_v0.0.1.aasx.</x:v>
      </x:c>
      <x:c r="H6" t="n">
        <x:f>IF(F6,1,0)</x:f>
        <x:v>1</x:v>
      </x:c>
      <x:c r="K6" s="25"/>
    </x:row>
    <x:row r="7" ht="70" hidden="0" customHeight="1">
      <x:c r="A7" s="58"/>
      <x:c r="B7" s="5">
        <x:v>5</x:v>
      </x:c>
      <x:c r="C7" s="4" t="s">
        <x:v>30</x:v>
      </x:c>
      <x:c r="D7" s="4" t="s">
        <x:v>39</x:v>
      </x:c>
      <x:c r="E7" s="91" t="s">
        <x:v>40</x:v>
      </x:c>
      <x:c r="F7" s="102" t="b">
        <x:v>1</x:v>
      </x:c>
      <x:c r="G7" s="106" t="str">
        <x:v>Nameplate·HandoverDocumentation·TechnicalData·OperationalData·TimeSeries·ProcessParameters·PredictiveMaintenance 7종. 필수 4종 포함.</x:v>
      </x:c>
      <x:c r="H7" t="n">
        <x:f>IF(F7,1,0)</x:f>
        <x:v>1</x:v>
      </x:c>
      <x:c r="K7" s="25"/>
    </x:row>
    <x:row r="8" ht="70" hidden="0" customHeight="1">
      <x:c r="A8" s="58"/>
      <x:c r="B8" s="4">
        <x:v>6</x:v>
      </x:c>
      <x:c r="C8" s="4" t="s">
        <x:v>41</x:v>
      </x:c>
      <x:c r="D8" s="4" t="s">
        <x:v>42</x:v>
      </x:c>
      <x:c r="E8" s="91" t="s">
        <x:v>43</x:v>
      </x:c>
      <x:c r="F8" s="102" t="b">
        <x:v>1</x:v>
      </x:c>
      <x:c r="G8" s="106" t="str">
        <x:v>globalAssetId 설정. SandCooler 장비 식별자를 포함해 다른 장비와 구분. KOSMO-AAS #5 Passed.</x:v>
      </x:c>
      <x:c r="H8" t="n">
        <x:f>IF(F8,1,0)</x:f>
        <x:v>1</x:v>
      </x:c>
      <x:c r="K8" s="25"/>
    </x:row>
    <x:row r="9" ht="70" hidden="0" customHeight="1">
      <x:c r="A9" s="59"/>
      <x:c r="B9" s="4">
        <x:v>7</x:v>
      </x:c>
      <x:c r="C9" s="4" t="s">
        <x:v>30</x:v>
      </x:c>
      <x:c r="D9" s="4" t="s">
        <x:v>44</x:v>
      </x:c>
      <x:c r="E9" s="91" t="s">
        <x:v>45</x:v>
      </x:c>
      <x:c r="F9" s="102" t="b">
        <x:v>1</x:v>
      </x:c>
      <x:c r="G9" s="106" t="str">
        <x:v>assetKind=Type. KOSMO-AAS #6 Passed.</x:v>
      </x:c>
      <x:c r="H9" t="n">
        <x:f>IF(F9,1,0)</x:f>
        <x:v>1</x:v>
      </x:c>
      <x:c r="K9" s="25"/>
    </x:row>
    <x:row r="10" ht="110" hidden="0" customHeight="1">
      <x:c r="A10" s="57" t="s">
        <x:v>46</x:v>
      </x:c>
      <x:c r="B10" s="9">
        <x:v>8</x:v>
      </x:c>
      <x:c r="C10" s="9" t="s">
        <x:v>30</x:v>
      </x:c>
      <x:c r="D10" s="9" t="s">
        <x:v>47</x:v>
      </x:c>
      <x:c r="E10" s="103" t="s">
        <x:v>48</x:v>
      </x:c>
      <x:c r="F10" s="102" t="b">
        <x:v>1</x:v>
      </x:c>
      <x:c r="G10" s="106" t="str">
        <x:v>충족. 제출 당시 적용 기준으로 검토.</x:v>
      </x:c>
      <x:c r="H10" t="n">
        <x:f>IF(F10,1,0)</x:f>
        <x:v>1</x:v>
      </x:c>
      <x:c r="K10" s="25"/>
    </x:row>
    <x:row r="11" ht="70" hidden="0" customHeight="1">
      <x:c r="A11" s="58"/>
      <x:c r="B11" s="4">
        <x:v>9</x:v>
      </x:c>
      <x:c r="C11" s="4" t="s">
        <x:v>30</x:v>
      </x:c>
      <x:c r="D11" s="4" t="s">
        <x:v>18</x:v>
      </x:c>
      <x:c r="E11" s="91" t="s">
        <x:v>38</x:v>
      </x:c>
      <x:c r="F11" s="102" t="b">
        <x:v>1</x:v>
      </x:c>
      <x:c r="G11" s="106" t="str">
        <x:v>7종 Submodel id는 SandCoolerAAS 장비 경로를 포함. administration과 IRI 버전 대조 및 KOSMO-Submodel #2 Passed.</x:v>
      </x:c>
      <x:c r="H11" t="n">
        <x:f>IF(F11,1,0)</x:f>
        <x:v>1</x:v>
      </x:c>
      <x:c r="K11" s="27"/>
    </x:row>
    <x:row r="12" ht="70" hidden="0" customHeight="1">
      <x:c r="A12" s="58"/>
      <x:c r="B12" s="5">
        <x:v>10</x:v>
      </x:c>
      <x:c r="C12" s="4" t="s">
        <x:v>30</x:v>
      </x:c>
      <x:c r="D12" s="4" t="s">
        <x:v>49</x:v>
      </x:c>
      <x:c r="E12" s="91" t="s">
        <x:v>50</x:v>
      </x:c>
      <x:c r="F12" s="102" t="b">
        <x:v>1</x:v>
      </x:c>
      <x:c r="G12" s="106" t="str">
        <x:v>공식 6종 semanticId는 지정 원본 유지. OperationalData는 SandCoolerAAS 고유 IRI. 공식 semanticId와 개별 Submodel id를 구별함.</x:v>
      </x:c>
      <x:c r="H12" t="n">
        <x:f>IF(F12,1,0)</x:f>
        <x:v>1</x:v>
      </x:c>
      <x:c r="I12" s="23"/>
      <x:c r="J12" s="28"/>
      <x:c r="K12" s="25"/>
    </x:row>
    <x:row r="13" ht="70" hidden="0" customHeight="1">
      <x:c r="A13" s="58"/>
      <x:c r="B13" s="4">
        <x:v>11</x:v>
      </x:c>
      <x:c r="C13" s="4" t="s">
        <x:v>30</x:v>
      </x:c>
      <x:c r="D13" s="4" t="s">
        <x:v>51</x:v>
      </x:c>
      <x:c r="E13" s="91" t="s">
        <x:v>52</x:v>
      </x:c>
      <x:c r="F13" s="102" t="b">
        <x:v>1</x:v>
      </x:c>
      <x:c r="G13" s="105" t="str">
        <x:v>7종 모두 kind=Template.</x:v>
      </x:c>
      <x:c r="H13" t="n">
        <x:f>IF(F13,1,0)</x:f>
        <x:v>1</x:v>
      </x:c>
      <x:c r="K13" s="25"/>
    </x:row>
    <x:row r="14" ht="145" hidden="0" customHeight="1">
      <x:c r="A14" s="59"/>
      <x:c r="B14" s="9">
        <x:v>12</x:v>
      </x:c>
      <x:c r="C14" s="9" t="s">
        <x:v>41</x:v>
      </x:c>
      <x:c r="D14" s="9" t="s">
        <x:v>53</x:v>
      </x:c>
      <x:c r="E14" s="103" t="s">
        <x:v>54</x:v>
      </x:c>
      <x:c r="F14" s="102" t="b">
        <x:v>1</x:v>
      </x:c>
      <x:c r="G14" s="105" t="str">
        <x:v>TechnicalData는 표준 TechnicalPropertyAreas 아래 냉각·송풍·살수·전기·기계 기능별 계층을 구성. OperationalData는 운전·품질·유틸리티·상태 등 목적별 계층으로 현재값을 분리.</x:v>
      </x:c>
      <x:c r="H14" t="n">
        <x:f>IF(F14,1,0)</x:f>
        <x:v>1</x:v>
      </x:c>
      <x:c r="K14" s="25"/>
    </x:row>
    <x:row r="15" ht="70" hidden="0" customHeight="1">
      <x:c r="A15" s="66" t="s">
        <x:v>55</x:v>
      </x:c>
      <x:c r="B15" s="9">
        <x:v>13</x:v>
      </x:c>
      <x:c r="C15" s="9" t="s">
        <x:v>41</x:v>
      </x:c>
      <x:c r="D15" s="46" t="s">
        <x:v>56</x:v>
      </x:c>
      <x:c r="E15" s="103" t="s">
        <x:v>57</x:v>
      </x:c>
      <x:c r="F15" s="102" t="b">
        <x:v>1</x:v>
      </x:c>
      <x:c r="G15" s="105" t="str">
        <x:v>Operation·BasicEventElement·Capability 미사용. KOSMO-SME #2 Passed.</x:v>
      </x:c>
      <x:c r="H15" t="n">
        <x:f>IF(F15,1,0)</x:f>
        <x:v>1</x:v>
      </x:c>
      <x:c r="K15" s="25"/>
    </x:row>
    <x:row r="16" ht="110" hidden="0" customHeight="1">
      <x:c r="A16" s="67"/>
      <x:c r="B16" s="4">
        <x:v>14</x:v>
      </x:c>
      <x:c r="C16" s="4" t="s">
        <x:v>30</x:v>
      </x:c>
      <x:c r="D16" s="4" t="s">
        <x:v>58</x:v>
      </x:c>
      <x:c r="E16" s="91" t="s">
        <x:v>59</x:v>
      </x:c>
      <x:c r="F16" s="102" t="b">
        <x:v>1</x:v>
      </x:c>
      <x:c r="G16" s="105" t="str">
        <x:v>SME 285개 semanticId가 패키지 CD에 연결되며 미매핑 0개. CD 263개. KOSMO-SME #3 Passed. KOSMO-CD #2 Failed는 연결 오류가 아니라 공식 IRI 6건의 형식 오판이며 공식 원본 유지.</x:v>
      </x:c>
      <x:c r="H16" t="n">
        <x:f>IF(F16,1,0)</x:f>
        <x:v>1</x:v>
      </x:c>
      <x:c r="K16" s="25"/>
    </x:row>
    <x:row r="17" ht="70" hidden="0" customHeight="1">
      <x:c r="A17" s="66" t="s">
        <x:v>60</x:v>
      </x:c>
      <x:c r="B17" s="9">
        <x:v>15</x:v>
      </x:c>
      <x:c r="C17" s="9" t="s">
        <x:v>30</x:v>
      </x:c>
      <x:c r="D17" s="9" t="s">
        <x:v>61</x:v>
      </x:c>
      <x:c r="E17" s="103" t="s">
        <x:v>62</x:v>
      </x:c>
      <x:c r="F17" s="102" t="b">
        <x:v>1</x:v>
      </x:c>
      <x:c r="G17" s="104" t="str">
        <x:v>Property 빈 예시값 0개. 온도·수분·처리량·설정값·예시 시계열 포함. 선택 ReferenceElement 미연결과 PreviewFile 미적용은 값 누락 Property와 구분하고 사유를 유지.</x:v>
      </x:c>
      <x:c r="H17" t="n">
        <x:f>IF(F17,1,0)</x:f>
        <x:v>1</x:v>
      </x:c>
      <x:c r="K17" s="25"/>
    </x:row>
    <x:row r="18" ht="110" hidden="0" customHeight="1">
      <x:c r="A18" s="67"/>
      <x:c r="B18" s="5">
        <x:v>16</x:v>
      </x:c>
      <x:c r="C18" s="4" t="s">
        <x:v>30</x:v>
      </x:c>
      <x:c r="D18" s="10" t="s">
        <x:v>63</x:v>
      </x:c>
      <x:c r="E18" s="91" t="s">
        <x:v>64</x:v>
      </x:c>
      <x:c r="F18" s="102" t="b">
        <x:v>1</x:v>
      </x:c>
      <x:c r="G18" s="104" t="str">
        <x:v>원본 보존 예외를 적용해 충족 판정. 예지보전의 숫자형 SME–CD STRING 불일치 9개 위치(숫자 Property 7개·Range 2개)는 공식 구버전 자체의 불일치이다. Information C11 및 비고의 IDTA 원본 오류 임의 수정 금지 기준을 따른다. 모든 자료형이 실제로 일치한다는 뜻은 아니다.</x:v>
      </x:c>
      <x:c r="H18" t="n">
        <x:f>IF(F18,1,0)</x:f>
        <x:v>1</x:v>
      </x:c>
      <x:c r="K18" s="25"/>
    </x:row>
    <x:row r="19" ht="110" hidden="0" customHeight="1">
      <x:c r="A19" s="57" t="s">
        <x:v>65</x:v>
      </x:c>
      <x:c r="B19" s="5">
        <x:v>17</x:v>
      </x:c>
      <x:c r="C19" s="4" t="s">
        <x:v>30</x:v>
      </x:c>
      <x:c r="D19" s="4" t="s">
        <x:v>18</x:v>
      </x:c>
      <x:c r="E19" s="91" t="s">
        <x:v>66</x:v>
      </x:c>
      <x:c r="F19" s="102" t="b">
        <x:v>1</x:v>
      </x:c>
      <x:c r="G19" s="105" t="str">
        <x:v>충족(공식 식별자 예외). SandCooler_20261008205827_test_result.html: 검사 항목 69 Passed·1 Failed. KOSMO-CD #2는 공식 IDTA IRI 6건을 smart-factory.kr 자체 IRI 형식과 비교한 오판이다. 가이드라인과 양식 Information C6의 공식 IRI 유지 규칙에 따라 식별자를 변경하지 않는다. 자동검사 제외 표준 SM 6종은 원본 대조 근거로 판단했다.</x:v>
      </x:c>
      <x:c r="H19" t="n">
        <x:f>IF(F19,1,0)</x:f>
        <x:v>1</x:v>
      </x:c>
      <x:c r="K19" s="25"/>
    </x:row>
    <x:row r="20" ht="70" hidden="0" customHeight="1">
      <x:c r="A20" s="58"/>
      <x:c r="B20" s="4">
        <x:v>18</x:v>
      </x:c>
      <x:c r="C20" s="10" t="s">
        <x:v>30</x:v>
      </x:c>
      <x:c r="D20" s="4" t="s">
        <x:v>67</x:v>
      </x:c>
      <x:c r="E20" s="91" t="s">
        <x:v>68</x:v>
      </x:c>
      <x:c r="F20" s="102" t="b">
        <x:v>1</x:v>
      </x:c>
      <x:c r="G20" s="105" t="str">
        <x:v>CD의 정의 또는 설명과 자체 정의 CD 영문 정의 확인. KOSMO-CD #3 Passed. 공식 원본의 정의 미제공 부분은 임의의 공식 정의를 만들지 않고 출처 한계를 명시.</x:v>
      </x:c>
      <x:c r="H20" t="n">
        <x:f>IF(F20,1,0)</x:f>
        <x:v>1</x:v>
      </x:c>
      <x:c r="I20" s="23"/>
      <x:c r="K20" s="25"/>
    </x:row>
    <x:row r="21" ht="70" hidden="0" customHeight="1">
      <x:c r="A21" s="59"/>
      <x:c r="B21" s="5">
        <x:v>19</x:v>
      </x:c>
      <x:c r="C21" s="10" t="s">
        <x:v>30</x:v>
      </x:c>
      <x:c r="D21" s="4" t="s">
        <x:v>69</x:v>
      </x:c>
      <x:c r="E21" s="91" t="s">
        <x:v>70</x:v>
      </x:c>
      <x:c r="F21" s="102" t="b">
        <x:v>1</x:v>
      </x:c>
      <x:c r="G21" s="105" t="str">
        <x:v>자체 정의 CD 자료형 설정. KOSMO-CD #4 Passed. 표준 복합 구조 등 원본에서 dataType을 제공하지 않는 항목은 원본 예외이며, PM STRING 불일치 상세는 #16에 기재.</x:v>
      </x:c>
      <x:c r="H21" t="n">
        <x:f>IF(F21,1,0)</x:f>
        <x:v>1</x:v>
      </x:c>
      <x:c r="I21" s="23"/>
      <x:c r="K21" s="25"/>
    </x:row>
    <x:row r="22" ht="52" customHeight="1">
      <x:c r="A22" s="3" t="s">
        <x:v>4</x:v>
      </x:c>
      <x:c r="B22" s="63" t="s">
        <x:v>71</x:v>
      </x:c>
      <x:c r="C22" s="64"/>
      <x:c r="D22" s="64"/>
      <x:c r="E22" s="64"/>
      <x:c r="F22" s="64"/>
      <x:c r="G22" s="65"/>
      <x:c r="I22" s="23"/>
      <x:c r="K22" s="25"/>
    </x:row>
    <x:row r="23" ht="36" customHeight="1">
      <x:c r="A23" s="3" t="s">
        <x:v>72</x:v>
      </x:c>
      <x:c r="B23" s="40" t="n">
        <x:f>COUNTA(D3:D21)</x:f>
        <x:v>19</x:v>
      </x:c>
      <x:c r="C23" s="60" t="str">
        <x:v>True는 검토 기준 충족을 뜻함. 공식 원본 보존 예외와 Validator 오판은 해당 항목의 근거에 명시.</x:v>
      </x:c>
      <x:c r="D23" s="61"/>
      <x:c r="E23" s="61"/>
      <x:c r="F23" s="61"/>
      <x:c r="G23" s="62"/>
      <x:c r="K23" s="25"/>
    </x:row>
    <x:row r="24">
      <x:c r="B24" s="13" t="str"/>
      <x:c r="K24" s="25"/>
    </x:row>
    <x:row r="25">
      <x:c r="K25" s="25"/>
    </x:row>
    <x:row r="26">
      <x:c r="K26" s="26"/>
    </x:row>
    <x:row r="29">
      <x:c r="H29" s="13"/>
    </x:row>
  </x:sheetData>
  <x:mergeCells>
    <x:mergeCell ref="C23:G23"/>
    <x:mergeCell ref="A1:G1"/>
    <x:mergeCell ref="A10:A14"/>
    <x:mergeCell ref="B22:G22"/>
    <x:mergeCell ref="A4:A5"/>
    <x:mergeCell ref="A6:A9"/>
    <x:mergeCell ref="A19:A21"/>
    <x:mergeCell ref="A15:A16"/>
    <x:mergeCell ref="A17:A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7"/>
  <x:cols>
    <x:col min="1" max="4" width="9" style="12" customWidth="0"/>
    <x:col min="5" max="6" width="15" style="12" customWidth="1"/>
    <x:col min="7" max="7" width="17" style="12" customWidth="1"/>
    <x:col min="8" max="8" width="21.33203125" style="12" customWidth="1"/>
    <x:col min="9" max="9" width="28.5" customWidth="1"/>
  </x:cols>
  <x:sheetData>
    <x:row r="1" ht="20">
      <x:c r="A1" s="69" t="str">
        <x:v>샌드쿨러 정량적 검토 결과</x:v>
      </x:c>
      <x:c r="B1" s="70"/>
      <x:c r="C1" s="70"/>
      <x:c r="D1" s="70"/>
      <x:c r="E1" s="70"/>
      <x:c r="F1" s="70"/>
      <x:c r="G1" s="70"/>
      <x:c r="H1" s="70"/>
      <x:c r="I1" s="70"/>
      <x:c r="J1" s="19"/>
    </x:row>
    <x:row r="2">
      <x:c r="A2" s="71" t="s">
        <x:v>73</x:v>
      </x:c>
      <x:c r="B2" s="71"/>
      <x:c r="C2" s="71"/>
      <x:c r="D2" s="71"/>
      <x:c r="E2" s="1" t="s">
        <x:v>74</x:v>
      </x:c>
      <x:c r="F2" s="2" t="s">
        <x:v>75</x:v>
      </x:c>
      <x:c r="G2" s="1" t="s">
        <x:v>76</x:v>
      </x:c>
      <x:c r="H2" s="1" t="s">
        <x:v>77</x:v>
      </x:c>
      <x:c r="I2" s="1" t="s">
        <x:v>4</x:v>
      </x:c>
    </x:row>
    <x:row r="3">
      <x:c r="A3" s="54" t="s">
        <x:v>78</x:v>
      </x:c>
      <x:c r="B3" s="54"/>
      <x:c r="C3" s="54"/>
      <x:c r="D3" s="54"/>
      <x:c r="E3" s="107" t="str">
        <x:v>충족</x:v>
      </x:c>
      <x:c r="F3" s="75"/>
      <x:c r="G3" s="11" t="n">
        <x:f>SUM('AAS Model Checklist'!H3:H21)</x:f>
        <x:v>19</x:v>
      </x:c>
      <x:c r="H3" s="11" t="n">
        <x:f>ROUND(G3/$G$5*100,1)</x:f>
        <x:v>100</x:v>
      </x:c>
      <x:c r="I3" s="34" t="s">
        <x:v>79</x:v>
      </x:c>
    </x:row>
    <x:row r="4">
      <x:c r="A4" s="54"/>
      <x:c r="B4" s="54"/>
      <x:c r="C4" s="54"/>
      <x:c r="D4" s="54"/>
      <x:c r="E4" s="107" t="str">
        <x:v>미확정</x:v>
      </x:c>
      <x:c r="F4" s="75"/>
      <x:c r="G4" s="43" t="n">
        <x:f>'AAS Model Checklist'!B23-G3</x:f>
        <x:v>0</x:v>
      </x:c>
      <x:c r="H4" s="11" t="n">
        <x:f>ROUND(G4/$G$5*100,1)</x:f>
        <x:v>0</x:v>
      </x:c>
      <x:c r="I4" s="34" t="str">
        <x:v>보완필요 또는 확인필요</x:v>
      </x:c>
    </x:row>
    <x:row r="5">
      <x:c r="A5" s="54"/>
      <x:c r="B5" s="54"/>
      <x:c r="C5" s="54"/>
      <x:c r="D5" s="54"/>
      <x:c r="E5" s="14" t="s">
        <x:v>72</x:v>
      </x:c>
      <x:c r="F5" s="15" t="s">
        <x:v>80</x:v>
      </x:c>
      <x:c r="G5" s="14" t="n">
        <x:f>SUM(G3:G4)</x:f>
        <x:v>19</x:v>
      </x:c>
      <x:c r="H5" s="14" t="n">
        <x:f>ROUND(G5/$G$5*100,1)</x:f>
        <x:v>100</x:v>
      </x:c>
      <x:c r="I5" s="35" t="s">
        <x:v>81</x:v>
      </x:c>
    </x:row>
    <x:row r="6">
      <x:c r="A6" s="73" t="s">
        <x:v>82</x:v>
      </x:c>
      <x:c r="B6" s="73"/>
      <x:c r="C6" s="73"/>
      <x:c r="D6" s="73"/>
      <x:c r="E6" s="72" t="s">
        <x:v>30</x:v>
      </x:c>
      <x:c r="F6" s="11" t="s">
        <x:v>83</x:v>
      </x:c>
      <x:c r="G6" s="11" t="n">
        <x:f>SUMIF('AAS Model Checklist'!C3:C21,"필수",'AAS Model Checklist'!H3:H21)</x:f>
        <x:v>16</x:v>
      </x:c>
      <x:c r="H6" s="11" t="n">
        <x:f>ROUND(G6/$G$5*100,1)</x:f>
        <x:v>84.2</x:v>
      </x:c>
      <x:c r="I6" s="34" t="s">
        <x:v>84</x:v>
      </x:c>
    </x:row>
    <x:row r="7">
      <x:c r="A7" s="73"/>
      <x:c r="B7" s="73"/>
      <x:c r="C7" s="73"/>
      <x:c r="D7" s="73"/>
      <x:c r="E7" s="72"/>
      <x:c r="F7" s="11" t="s">
        <x:v>85</x:v>
      </x:c>
      <x:c r="G7" s="11" t="n">
        <x:f>COUNTIF('AAS Model Checklist'!C3:C21,"필수")-G6</x:f>
        <x:v>0</x:v>
      </x:c>
      <x:c r="H7" s="11" t="n">
        <x:f>ROUND(G7/$G$5*100,1)</x:f>
        <x:v>0</x:v>
      </x:c>
      <x:c r="I7" s="34" t="str">
        <x:v>필수 보완/확인 대기</x:v>
      </x:c>
    </x:row>
    <x:row r="8">
      <x:c r="A8" s="73"/>
      <x:c r="B8" s="73"/>
      <x:c r="C8" s="73"/>
      <x:c r="D8" s="73"/>
      <x:c r="E8" s="72" t="s">
        <x:v>41</x:v>
      </x:c>
      <x:c r="F8" s="11" t="s">
        <x:v>86</x:v>
      </x:c>
      <x:c r="G8" s="11" t="n">
        <x:f>SUMIF('AAS Model Checklist'!C3:C21,"옵션",'AAS Model Checklist'!H3:H21)</x:f>
        <x:v>3</x:v>
      </x:c>
      <x:c r="H8" s="11" t="n">
        <x:f>ROUND(G8/$G$5*100,1)</x:f>
        <x:v>15.8</x:v>
      </x:c>
      <x:c r="I8" s="34" t="s">
        <x:v>87</x:v>
      </x:c>
    </x:row>
    <x:row r="9">
      <x:c r="A9" s="73"/>
      <x:c r="B9" s="73"/>
      <x:c r="C9" s="73"/>
      <x:c r="D9" s="73"/>
      <x:c r="E9" s="72"/>
      <x:c r="F9" s="11" t="s">
        <x:v>88</x:v>
      </x:c>
      <x:c r="G9" s="11" t="n">
        <x:f>COUNTIF('AAS Model Checklist'!C3:C21,"옵션")-G8</x:f>
        <x:v>0</x:v>
      </x:c>
      <x:c r="H9" s="11" t="n">
        <x:f>ROUND(G9/$G$5*100,1)</x:f>
        <x:v>0</x:v>
      </x:c>
      <x:c r="I9" s="34" t="str">
        <x:v>옵션 보완/확인 대기</x:v>
      </x:c>
    </x:row>
    <x:row r="10">
      <x:c r="A10" s="73"/>
      <x:c r="B10" s="73"/>
      <x:c r="C10" s="73"/>
      <x:c r="D10" s="73"/>
      <x:c r="E10" s="14" t="s">
        <x:v>72</x:v>
      </x:c>
      <x:c r="F10" s="16" t="s">
        <x:v>80</x:v>
      </x:c>
      <x:c r="G10" s="14" t="n">
        <x:f>SUM(G6:G9)</x:f>
        <x:v>19</x:v>
      </x:c>
      <x:c r="H10" s="14" t="n">
        <x:f>ROUND(G10/$G$5*100,1)</x:f>
        <x:v>100</x:v>
      </x:c>
      <x:c r="I10" s="35" t="s">
        <x:v>81</x:v>
      </x:c>
    </x:row>
    <x:row r="12" ht="60" customHeight="1">
      <x:c r="A12" s="108" t="str">
        <x:f>G3&amp;"/"&amp;G5&amp;"는 체크리스트 기준 충족 수이다. Validator는 69 Passed·1 Failed이며, 공식 IRI 형식 오판 근거를 반영했다."</x:f>
        <x:v>19/19는 체크리스트 기준 충족 수이다. Validator는 69 Passed·1 Failed이며, 공식 IRI 형식 오판 근거를 반영했다.</x:v>
      </x:c>
      <x:c r="B12" s="108"/>
      <x:c r="C12" s="108"/>
      <x:c r="D12" s="108"/>
      <x:c r="E12" s="108"/>
      <x:c r="F12" s="108"/>
      <x:c r="G12" s="108"/>
      <x:c r="H12" s="108"/>
      <x:c r="I12" s="108"/>
    </x:row>
    <x:row r="13">
      <x:c r="B13" s="33"/>
    </x:row>
  </x:sheetData>
  <x:mergeCells>
    <x:mergeCell ref="A12:I12"/>
    <x:mergeCell ref="A1:I1"/>
    <x:mergeCell ref="A2:D2"/>
    <x:mergeCell ref="E6:E7"/>
    <x:mergeCell ref="E8:E9"/>
    <x:mergeCell ref="A3:D5"/>
    <x:mergeCell ref="A6:D10"/>
    <x:mergeCell ref="E3:F3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7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109" t="str">
        <x:v>추가 검토사항 — 2026-10-08 최종 파일 기준</x:v>
      </x:c>
      <x:c r="B1" s="110"/>
      <x:c r="C1" s="110"/>
      <x:c r="D1" s="110"/>
      <x:c r="E1" s="110"/>
      <x:c r="F1" s="110"/>
    </x:row>
    <x:row r="2" ht="22" customHeight="1">
      <x:c r="A2" s="93"/>
      <x:c r="B2" s="94"/>
      <x:c r="C2" s="93"/>
      <x:c r="D2" s="111"/>
      <x:c r="E2" s="112"/>
      <x:c r="F2" s="111"/>
    </x:row>
    <x:row r="3" ht="110" customHeight="1">
      <x:c r="A3" s="93" t="str">
        <x:v>판정 근거</x:v>
      </x:c>
      <x:c r="B3" s="94" t="str">
        <x:v>SandCooler_20261008205827_test_result.html: 검사 항목 69 Passed·1 Failed. KOSMO-CD #2는 공식 IDTA IRI 6건을 smart-factory.kr 자체 IRI 형식과 비교한 오판이다. 가이드라인과 양식 Information C6의 공식 IRI 유지 규칙에 따라 식별자를 변경하지 않는다. 자동검사 제외 표준 SM 6종은 원본 대조 근거로 판단했다.</x:v>
      </x:c>
      <x:c r="C3" s="93"/>
      <x:c r="D3" s="113"/>
      <x:c r="E3" s="114"/>
      <x:c r="F3" s="113"/>
    </x:row>
    <x:row r="4" ht="22" customHeight="1">
      <x:c r="A4" s="93"/>
      <x:c r="B4" s="94"/>
      <x:c r="C4" s="94"/>
      <x:c r="D4" s="94"/>
      <x:c r="E4" s="94"/>
      <x:c r="F4" s="94"/>
    </x:row>
    <x:row r="5" ht="110" hidden="0" customHeight="1">
      <x:c r="A5" s="93" t="str">
        <x:v>집계 의미</x:v>
      </x:c>
      <x:c r="B5" s="94" t="str">
        <x:v>19개 항목을 제출 당시 기준으로 판정. 공식 원본 보존 예외 #16은 Information C11에 근거하여 충족. 통계는 체크 셀과 연동하여 자동 집계.</x:v>
      </x:c>
      <x:c r="C5" s="94"/>
      <x:c r="D5" s="94"/>
      <x:c r="E5" s="94"/>
      <x:c r="F5" s="94"/>
    </x:row>
    <x:row r="6" ht="22" customHeight="1">
      <x:c r="A6" s="93"/>
      <x:c r="B6" s="115"/>
      <x:c r="C6" s="115"/>
      <x:c r="D6" s="115"/>
      <x:c r="E6" s="115"/>
      <x:c r="F6" s="115"/>
    </x:row>
    <x:row r="7" ht="110" customHeight="1">
      <x:c r="A7" s="99" t="str">
        <x:v>원본 예외</x:v>
      </x:c>
      <x:c r="B7" s="99" t="str">
        <x:v>원본 보존 예외를 적용해 충족 판정. 예지보전의 숫자형 SME–CD STRING 불일치 9개 위치(숫자 Property 7개·Range 2개)는 공식 구버전 자체의 불일치이다. Information C11 및 비고의 IDTA 원본 오류 임의 수정 금지 기준을 따른다. 모든 자료형이 실제로 일치한다는 뜻은 아니다.</x:v>
      </x:c>
      <x:c r="C7" s="99"/>
      <x:c r="D7" s="99"/>
      <x:c r="E7" s="99"/>
      <x:c r="F7" s="99"/>
    </x:row>
    <x:row r="8" ht="22" customHeight="1">
      <x:c r="A8" s="99"/>
      <x:c r="B8" s="99"/>
      <x:c r="C8" s="99"/>
      <x:c r="D8" s="99"/>
      <x:c r="E8" s="99"/>
      <x:c r="F8" s="99"/>
    </x:row>
    <x:row r="9" ht="110" customHeight="1">
      <x:c r="A9" s="99" t="str">
        <x:v>문서 정합성</x:v>
      </x:c>
      <x:c r="B9" s="99" t="str">
        <x:v>충족. 가이던스의 이전 검증 문구를 SandCooler_20261008205827_test_result.html 기준 69 Passed·1 Failed로 갱신. Failed는 공식 IRI 6건에 대한 형식 오판이며 원본 유지. 모델 상세표 212행의 시간값·자료형·식별자 대조 결과 일치.</x:v>
      </x:c>
      <x:c r="C9" s="99"/>
      <x:c r="D9" s="99"/>
      <x:c r="E9" s="99"/>
      <x:c r="F9" s="99"/>
    </x:row>
    <x:row r="10" ht="22" customHeight="1">
      <x:c r="A10" s="99"/>
      <x:c r="B10" s="99"/>
      <x:c r="C10" s="99"/>
      <x:c r="D10" s="99"/>
      <x:c r="E10" s="99"/>
      <x:c r="F10" s="99"/>
    </x:row>
    <x:row r="11" ht="110" customHeight="1">
      <x:c r="A11" s="99" t="str">
        <x:v>검토 범위</x:v>
      </x:c>
      <x:c r="B11" s="99" t="str">
        <x:v>AASX는 변경하지 않음. 가이던스의 검증 결과 설명과 체크리스트 판정을 갱신. 검토자 공란. 기준 AASX SHA-256: 400f30810ed9b9e7f5e5cb33c4b0dc9dd1b2db33cd11c5c3c48810f809e27a03</x:v>
      </x:c>
      <x:c r="C11" s="99"/>
      <x:c r="D11" s="99"/>
      <x:c r="E11" s="99"/>
      <x:c r="F11" s="99"/>
    </x:row>
    <x:row r="12" ht="22" customHeight="1">
      <x:c r="A12" s="99"/>
      <x:c r="B12" s="99"/>
      <x:c r="C12" s="99"/>
      <x:c r="D12" s="99"/>
      <x:c r="E12" s="99"/>
      <x:c r="F12" s="99"/>
    </x:row>
    <x:row r="13" ht="22" customHeight="1"/>
    <x:row r="14" ht="22" customHeight="1"/>
    <x:row r="15" ht="22" customHeight="1"/>
    <x:row r="16" ht="22" customHeight="1">
      <x:c r="A16" s="76"/>
      <x:c r="B16" s="76"/>
      <x:c r="C16" s="76"/>
      <x:c r="D16" s="76"/>
      <x:c r="E16" s="76"/>
      <x:c r="F16" s="76"/>
    </x:row>
  </x:sheetData>
  <x:mergeCells>
    <x:mergeCell ref="A1:F1"/>
    <x:mergeCell ref="B3:F3"/>
    <x:mergeCell ref="B5:F5"/>
    <x:mergeCell ref="B7:F7"/>
    <x:mergeCell ref="B9:F9"/>
    <x:mergeCell ref="B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7" hidden="0" customWidth="1"/>
    <x:col min="3" max="3" width="47" hidden="0" customWidth="1"/>
    <x:col min="4" max="4" width="34" hidden="0" customWidth="1"/>
  </x:cols>
  <x:sheetData>
    <x:row r="1">
      <x:c r="A1" s="96" t="str">
        <x:v>샌드쿨러 검토 근거 및 예외</x:v>
      </x:c>
      <x:c r="B1" s="96"/>
      <x:c r="C1" s="96"/>
      <x:c r="D1" s="96"/>
    </x:row>
    <x:row r="3" ht="30" customHeight="1">
      <x:c r="A3" s="99" t="str">
        <x:v>검토일</x:v>
      </x:c>
      <x:c r="B3" s="99" t="str">
        <x:v>2026-10-08</x:v>
      </x:c>
      <x:c r="C3" s="99"/>
      <x:c r="D3" s="99"/>
    </x:row>
    <x:row r="4" ht="65" customHeight="1">
      <x:c r="A4" s="99" t="str">
        <x:v>판정 기준</x:v>
      </x:c>
      <x:c r="B4" s="99" t="str">
        <x:v>가이드라인 V2.1.1, 지정 구버전 IDTA 원본, 현재 AASX·개발계획서·가이던스, 사용자 제공 최신 Validator 결과</x:v>
      </x:c>
      <x:c r="C4" s="99"/>
      <x:c r="D4" s="99"/>
    </x:row>
    <x:row r="5" ht="32" customHeight="1">
      <x:c r="A5" s="99" t="str">
        <x:v>AASX</x:v>
      </x:c>
      <x:c r="B5" s="99" t="str">
        <x:v>SandCooler_AAS_v0.0.1.aasx</x:v>
      </x:c>
      <x:c r="C5" s="99"/>
      <x:c r="D5" s="99"/>
    </x:row>
    <x:row r="6" ht="55" customHeight="1">
      <x:c r="A6" s="99" t="str">
        <x:v>문서</x:v>
      </x:c>
      <x:c r="B6" s="99" t="str">
        <x:v>샌드쿨러_참조모델개발계획서_v0.0.1.hwp / 샌드쿨러_AAS_활용_가이던스_v0.0.1.docx</x:v>
      </x:c>
      <x:c r="C6" s="99"/>
      <x:c r="D6" s="99"/>
    </x:row>
    <x:row r="7" ht="105" customHeight="1">
      <x:c r="A7" s="99" t="str">
        <x:v>Validator</x:v>
      </x:c>
      <x:c r="B7" s="99" t="str">
        <x:v>SandCooler_20261008205827_test_result.html: 검사 항목 69 Passed·1 Failed. KOSMO-CD #2는 공식 IDTA IRI 6건을 smart-factory.kr 자체 IRI 형식과 비교한 오판이다. 가이드라인과 양식 Information C6의 공식 IRI 유지 규칙에 따라 식별자를 변경하지 않는다. 자동검사 제외 표준 SM 6종은 원본 대조 근거로 판단했다.</x:v>
      </x:c>
      <x:c r="C7" s="99"/>
      <x:c r="D7" s="99"/>
    </x:row>
    <x:row r="8" ht="40" customHeight="1">
      <x:c r="A8" s="99" t="str">
        <x:v>AASX SHA-256</x:v>
      </x:c>
      <x:c r="B8" s="99" t="str">
        <x:v>400f30810ed9b9e7f5e5cb33c4b0dc9dd1b2db33cd11c5c3c48810f809e27a03</x:v>
      </x:c>
      <x:c r="C8" s="99"/>
      <x:c r="D8" s="99"/>
    </x:row>
    <x:row r="9" ht="42" customHeight="1">
      <x:c r="A9" s="99" t="str">
        <x:v>확인된 구성</x:v>
      </x:c>
      <x:c r="B9" s="99" t="str">
        <x:v>AAS 1개 / Submodel 7개 / SME 285개 / CD 263개 / 미매핑 0개</x:v>
      </x:c>
      <x:c r="C9" s="99"/>
      <x:c r="D9" s="99"/>
    </x:row>
    <x:row r="10" ht="100" customHeight="1">
      <x:c r="A10" s="99" t="str">
        <x:v>적용 원본</x:v>
      </x:c>
      <x:c r="B10" s="99" t="str">
        <x:v>Nameplate 3.0.1, Handover 2.0.1, TechnicalData 2.0.1, TimeSeries 1.1.1, ProcessParameters 1.0, PredictiveMaintenance 1.0. 제출 당시 기준 적용.</x:v>
      </x:c>
      <x:c r="C10" s="99"/>
      <x:c r="D10" s="99"/>
    </x:row>
    <x:row r="11" ht="28" customHeight="1">
      <x:c r="A11" s="99" t="str">
        <x:v>검토자</x:v>
      </x:c>
      <x:c r="B11" s="99" t="str"/>
      <x:c r="C11" s="99"/>
      <x:c r="D11" s="99"/>
    </x:row>
    <x:row r="12">
      <x:c r="A12" s="99"/>
      <x:c r="B12" s="99"/>
      <x:c r="C12" s="99"/>
      <x:c r="D12" s="99"/>
    </x:row>
    <x:row r="13">
      <x:c r="A13" s="100" t="str">
        <x:v>대상</x:v>
      </x:c>
      <x:c r="B13" s="100" t="str">
        <x:v>경로 / 항목</x:v>
      </x:c>
      <x:c r="C13" s="100" t="str">
        <x:v>검토 결과</x:v>
      </x:c>
      <x:c r="D13" s="100" t="str">
        <x:v>판정 및 조치</x:v>
      </x:c>
    </x:row>
    <x:row r="14" ht="48" customHeight="1">
      <x:c r="A14" s="99" t="str">
        <x:v>공식 IRI</x:v>
      </x:c>
      <x:c r="B14" s="99" t="str">
        <x:v>TimeSeries/1/1</x:v>
      </x:c>
      <x:c r="C14" s="99" t="str">
        <x:v>IDTA Time Series 공식 semantic IRI</x:v>
      </x:c>
      <x:c r="D14" s="99" t="str">
        <x:v>원본 유지. KOSMO-CD #2 형식 오판</x:v>
      </x:c>
    </x:row>
    <x:row r="15" ht="48" customHeight="1">
      <x:c r="A15" s="99" t="str">
        <x:v>공식 IRI</x:v>
      </x:c>
      <x:c r="B15" s="99" t="str">
        <x:v>SubmodelTemplate/PredictiveMaintenance/1/0</x:v>
      </x:c>
      <x:c r="C15" s="99" t="str">
        <x:v>IDTA 예지보전 공식 semantic IRI</x:v>
      </x:c>
      <x:c r="D15" s="99" t="str">
        <x:v>원본 유지. KOSMO-CD #2 형식 오판</x:v>
      </x:c>
    </x:row>
    <x:row r="16" ht="48" customHeight="1">
      <x:c r="A16" s="99" t="str">
        <x:v>공식 IRI</x:v>
      </x:c>
      <x:c r="B16" s="99" t="str">
        <x:v>ContactInformations/AddressInformation</x:v>
      </x:c>
      <x:c r="C16" s="99" t="str">
        <x:v>ZVEI/IDTA Nameplate 공식 IRI</x:v>
      </x:c>
      <x:c r="D16" s="99" t="str">
        <x:v>원본 유지. KOSMO-CD #2 형식 오판</x:v>
      </x:c>
    </x:row>
    <x:row r="17" ht="48" customHeight="1">
      <x:c r="A17" s="99" t="str">
        <x:v>공식 IRI</x:v>
      </x:c>
      <x:c r="B17" s="99" t="str">
        <x:v>RemainingUsefulLifetime/1/0</x:v>
      </x:c>
      <x:c r="C17" s="99" t="str">
        <x:v>IDTA 예지보전 공식 IRI</x:v>
      </x:c>
      <x:c r="D17" s="99" t="str">
        <x:v>원본 유지. KOSMO-CD #2 형식 오판</x:v>
      </x:c>
    </x:row>
    <x:row r="18" ht="48" customHeight="1">
      <x:c r="A18" s="99" t="str">
        <x:v>공식 IRI</x:v>
      </x:c>
      <x:c r="B18" s="99" t="str">
        <x:v>ConditionName/1/0</x:v>
      </x:c>
      <x:c r="C18" s="99" t="str">
        <x:v>IDTA 예지보전 공식 IRI</x:v>
      </x:c>
      <x:c r="D18" s="99" t="str">
        <x:v>원본 유지. KOSMO-CD #2 형식 오판</x:v>
      </x:c>
    </x:row>
    <x:row r="19" ht="48" customHeight="1">
      <x:c r="A19" s="99" t="str">
        <x:v>공식 IRI</x:v>
      </x:c>
      <x:c r="B19" s="99" t="str">
        <x:v>ListPreAlerts/1/0</x:v>
      </x:c>
      <x:c r="C19" s="99" t="str">
        <x:v>IDTA 예지보전 공식 IRI</x:v>
      </x:c>
      <x:c r="D19" s="99" t="str">
        <x:v>원본 유지. KOSMO-CD #2 형식 오판</x:v>
      </x:c>
    </x:row>
    <x:row r="20" ht="135" customHeight="1">
      <x:c r="A20" s="99" t="str">
        <x:v>원본 예외</x:v>
      </x:c>
      <x:c r="B20" s="99" t="str">
        <x:v>PM 숫자형 9개 위치</x:v>
      </x:c>
      <x:c r="C20" s="99" t="str">
        <x:v>DurationValue, StartValue, ConfidenceInterval, BoundaryValueRange, DriftInfoAIModel, MeanValue, Standarddeviation, Skewness, PreAlertValue</x:v>
      </x:c>
      <x:c r="D20" s="99" t="str">
        <x:v>Property 7개·Range 2개. 공식 CD STRING 원본 보존. 자료형 전부 일치로 주장하지 않음.</x:v>
      </x:c>
    </x:row>
    <x:row r="21" ht="135" customHeight="1">
      <x:c r="A21" s="99" t="str">
        <x:v>가이던스</x:v>
      </x:c>
      <x:c r="B21" s="99" t="str">
        <x:v>검증 증빙 설명</x:v>
      </x:c>
      <x:c r="C21" s="99" t="str">
        <x:v>충족. 가이던스의 이전 검증 문구를 SandCooler_20261008205827_test_result.html 기준 69 Passed·1 Failed로 갱신. Failed는 공식 IRI 6건에 대한 형식 오판이며 원본 유지. 모델 상세표 212행의 시간값·자료형·식별자 대조 결과 일치.</x:v>
      </x:c>
      <x:c r="D21" s="99" t="str">
        <x:v>가이던스 검증 결과 문구 갱신 완료. AASX는 변경하지 않음.</x:v>
      </x:c>
    </x:row>
    <x:row r="22" ht="135" customHeight="1">
      <x:c r="A22" s="99" t="str">
        <x:v>증거 파일</x:v>
      </x:c>
      <x:c r="B22" s="99" t="str">
        <x:v>잡것/IDTA_원본요소_대조목록.csv 및 수정근거_상세.json</x:v>
      </x:c>
      <x:c r="C22" s="99" t="str">
        <x:v>구버전 고정 요소 대조 및 공식 예외 경로. 최종 AASX에서 CD 매핑·빈 값·SamplingInterval 재확인.</x:v>
      </x:c>
      <x:c r="D22" s="99" t="str">
        <x:v>Validator는 사용자가 실행. 재실행하거나 결과 HTML을 변경하지 않음.</x:v>
      </x:c>
    </x:row>
  </x:sheetData>
  <x:mergeCells>
    <x:mergeCell ref="A1:D1"/>
    <x:mergeCell ref="B3:D3"/>
    <x:mergeCell ref="B4:D4"/>
    <x:mergeCell ref="B5:D5"/>
    <x:mergeCell ref="B6:D6"/>
    <x:mergeCell ref="B7:D7"/>
    <x:mergeCell ref="B8:D8"/>
    <x:mergeCell ref="B9:D9"/>
    <x:mergeCell ref="B10:D10"/>
    <x:mergeCell ref="B11:D11"/>
  </x:mergeCells>
  <x:pageMargins left="0.7" right="0.7" top="0.75" bottom="0.75" header="0.3" footer="0.3"/>
</x:worksheet>
</file>