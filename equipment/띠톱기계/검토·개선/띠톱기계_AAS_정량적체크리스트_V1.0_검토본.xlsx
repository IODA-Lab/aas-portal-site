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Documents\ChatGPT\AAS 제작\띠톱기계\띠톱기계 제출본_정합성수정_20260914\"/>
    </mc:Choice>
  </mc:AlternateContent>
  <xr:revisionPtr revIDLastSave="0" documentId="13_ncr:1_{DEEDCBB0-04B7-44B0-B252-9B0B5D721932}" xr6:coauthVersionLast="47" xr6:coauthVersionMax="47" xr10:uidLastSave="{00000000-0000-0000-0000-000000000000}"/>
  <bookViews>
    <workbookView xWindow="1260" yWindow="2865" windowWidth="27210" windowHeight="11295" activeTab="3" xr2:uid="{00000000-000D-0000-FFFF-FFFF00000000}"/>
  </bookViews>
  <sheets>
    <sheet name="AAS Model Checklist Information" sheetId="1" r:id="rId1"/>
    <sheet name="AAS Model Checklist" sheetId="2" r:id="rId2"/>
    <sheet name="AAS Model Checklist Result" sheetId="3" r:id="rId3"/>
    <sheet name="Additional Consideration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3" l="1"/>
  <c r="G8" i="3"/>
  <c r="G7" i="3"/>
  <c r="G10" i="3" s="1"/>
  <c r="G6" i="3"/>
  <c r="G5" i="3"/>
  <c r="G4" i="3"/>
  <c r="H4" i="3" s="1"/>
  <c r="H3" i="3"/>
  <c r="G3" i="3"/>
  <c r="H5" i="3" l="1"/>
  <c r="H7" i="3"/>
  <c r="H6" i="3"/>
  <c r="H8" i="3"/>
  <c r="H9" i="3"/>
  <c r="H10" i="3"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<sst xmlns="http://schemas.openxmlformats.org/spreadsheetml/2006/main" count="156" uniqueCount="123">
  <si>
    <t>AAS Model Checklist Information</t>
  </si>
  <si>
    <t>분류(대상)</t>
  </si>
  <si>
    <t>정보</t>
  </si>
  <si>
    <t>설명</t>
  </si>
  <si>
    <t>비고</t>
  </si>
  <si>
    <t>기본정보</t>
  </si>
  <si>
    <t>* 본 체크리스트는 2026년 중소기업벤처부 과제공고 기준을 대상으로 제작하였습니다.</t>
  </si>
  <si>
    <t>Id 버전</t>
  </si>
  <si>
    <t>AAS 모델링시 참조한 표준 및 근거자료에 대한 버전을 확인한다.
예시) CDD 버전, eCl@ss 버전, ETIM 버전 등</t>
  </si>
  <si>
    <t>IRDI 관련 내용</t>
  </si>
  <si>
    <t xml:space="preserve">작성하려는 항목의 IRDI가 CDD/eCl@ss에 존재하여야 하며, CDD/eCl@ss에 정의된 내용과 모두 일치해야만 CDD/eCl@ss에서 정의된 Semantic Id를 사용할 수 있다.
(예: 단위, 데이터 타입 등이 일부라도 일치하지 않으면 사용할 수 없다) </t>
  </si>
  <si>
    <t>IRI 양식</t>
  </si>
  <si>
    <r>
      <t xml:space="preserve">
구조 : 
- Submodel: </t>
    </r>
    <r>
      <rPr>
        <u/>
        <sz val="10"/>
        <color theme="1"/>
        <rFont val="맑은 고딕"/>
        <family val="3"/>
      </rPr>
      <t xml:space="preserve">KOSMO 홈페이지주소/ids/sm/AAS명/Submodel명/version
</t>
    </r>
    <r>
      <rPr>
        <sz val="10"/>
        <color theme="1"/>
        <rFont val="맑은 고딕"/>
        <family val="3"/>
      </rPr>
      <t xml:space="preserve">예시) https://www.smart-factory.kr/ids/sm/ACB/TechnicalData/1/0
- Submodel 외 항목: </t>
    </r>
    <r>
      <rPr>
        <u/>
        <sz val="10"/>
        <color theme="1"/>
        <rFont val="맑은 고딕"/>
        <family val="3"/>
      </rPr>
      <t xml:space="preserve">KOSMO 홈페이지주소/ids/카테고리/변수명/version
</t>
    </r>
    <r>
      <rPr>
        <sz val="10"/>
        <color theme="1"/>
        <rFont val="맑은 고딕"/>
        <family val="3"/>
      </rPr>
      <t xml:space="preserve">예시) https://www.smart-factory.kr/ids/cd/TypeOfActuator/1/0
       https://www.smart-factory.kr/ids/aas/ACB/1/0
</t>
    </r>
    <r>
      <rPr>
        <sz val="10"/>
        <color theme="1"/>
        <rFont val="맑은 고딕"/>
        <family val="3"/>
      </rPr>
      <t xml:space="preserve">* IDTA 표준 서브모델 템플릿을 사용한 경우에는 IRI를 변경하지 않고, 그대로 사용해야 한다. 단, 서브모델의 Id는 IDTA에서 정의한 IRI가 있더라도 중기부에서 정의한 구조를 사용해야 한다.
</t>
    </r>
    <r>
      <rPr>
        <b/>
        <sz val="10"/>
        <color rgb="FFFF0000"/>
        <rFont val="맑은 고딕"/>
        <family val="2"/>
      </rPr>
      <t>* AAS와 Submodel에 한하여 administration에 버전 정보를 입력하고 ID 뒷부분 '/version' 과 일치 시킬것</t>
    </r>
    <r>
      <rPr>
        <sz val="10"/>
        <color theme="1"/>
        <rFont val="맑은 고딕"/>
        <family val="3"/>
      </rPr>
      <t xml:space="preserve">
</t>
    </r>
    <r>
      <rPr>
        <sz val="10"/>
        <color theme="1"/>
        <rFont val="맑은 고딕"/>
        <family val="3"/>
      </rPr>
      <t xml:space="preserve">
* 용어설명
sm: Submodel
cd : ConceptDescription
aas : AAS
        </t>
    </r>
  </si>
  <si>
    <t>장비특화 Submodel 구성</t>
  </si>
  <si>
    <r>
      <rPr>
        <b/>
        <sz val="10"/>
        <color theme="1"/>
        <rFont val="맑은 고딕"/>
        <family val="3"/>
      </rPr>
      <t xml:space="preserve">Technical Data 및 Operational Data를 포함한 장비특화 서브모델에서 Property를 추가할 경우 2단계 이상의 계층 세분화가 되어야 한다.
* Technical Data 서브모델 세분화는 IDTA 표준 구조 이후 장비특화 계층이 2단계 이상이어야 한다
</t>
    </r>
    <r>
      <rPr>
        <b/>
        <sz val="10"/>
        <color rgb="FFFF0000"/>
        <rFont val="맑은 고딕"/>
        <family val="3"/>
      </rPr>
      <t>* 각 계층과 컬렉션은 명확한 분류 목적을 가져야 하며, 별도의 모델링 근거 없이 단순히 하위 요소만을 포함하는 중간 SMC는 계층 세분화 요건을 충족하지 않은 것으로 판단함.</t>
    </r>
    <r>
      <rPr>
        <b/>
        <sz val="10"/>
        <color rgb="FF0070C0"/>
        <rFont val="맑은 고딕"/>
        <family val="2"/>
      </rPr>
      <t xml:space="preserve">
</t>
    </r>
  </si>
  <si>
    <t>체크리스트
참조/공통체크사항</t>
  </si>
  <si>
    <t>idShort 설정여부</t>
  </si>
  <si>
    <r>
      <t>idShort가 설정되어 있는지 확인한다.
* Naming rule/Convention (권고사항)
① 공백, 특수문</t>
    </r>
    <r>
      <rPr>
        <sz val="10"/>
        <color theme="1"/>
        <rFont val="맑은 고딕"/>
        <family val="3"/>
      </rPr>
      <t xml:space="preserve">자(‘_’, underbar, </t>
    </r>
    <r>
      <rPr>
        <sz val="10"/>
        <color rgb="FFFF0000"/>
        <rFont val="맑은 고딕"/>
        <family val="3"/>
      </rPr>
      <t xml:space="preserve">‘-‘, hyphen </t>
    </r>
    <r>
      <rPr>
        <sz val="10"/>
        <color theme="1"/>
        <rFont val="맑은 고딕"/>
        <family val="3"/>
      </rPr>
      <t>제외)를</t>
    </r>
    <r>
      <rPr>
        <sz val="10"/>
        <color rgb="FF000000"/>
        <rFont val="맑은 고딕"/>
        <family val="3"/>
      </rPr>
      <t xml:space="preserve"> 포함하지 않음
② 일관된 표기법 사용 / 예) 모든 단어를 띄어쓰기 없이 대문자로 시작
예시) "Rated voltage" -&gt; "RatedVoltage" 또는 "Rated_Voltage" 등등</t>
    </r>
  </si>
  <si>
    <t>Id</t>
  </si>
  <si>
    <t>각 항목의 Id 양식을 확인하고, IRDI 형식인지 IRI 형식인지 구분한다.
IRDI인 경우, 해당 항목이 CDD/Ecl@ss에 존재하여야 한다.
IRI인 경우, 정해진 양식을 준수하고 있는지 확인한다.</t>
  </si>
  <si>
    <t>description 또는 definition 여부</t>
  </si>
  <si>
    <t>해당 항목에 대한 description 또는 definition이 작성되어 있는지 확인한다.
모든 서브모델 엘리먼트는 시맨틱 정보를 정의하는 정상적인 Concept Description(CD)을 가져야 함 
정상적인 CD란 Preferred Name, Definition를 필수 포함하고, 선택적으로 적절한 DataType, Unit이 포함되어야 함 
단, Definition의 경우 영문으로 작성된 정의는 반드시 포함되어야 함</t>
  </si>
  <si>
    <t>기타</t>
  </si>
  <si>
    <r>
      <t xml:space="preserve">① IDTA가 배포한 서브모델 내부에 자체적으로 포함되어 있는 오류에 대해서는 수정하지 않아야 한다.
예시) IRDI 2개 포함, definition 미작성 등 
② Ecl@ss, CDD에서 정의되어 있지 않은 definition은 자체적으로 정의하지 않고 그대로 사용하여야 한다.
</t>
    </r>
    <r>
      <rPr>
        <sz val="10"/>
        <color theme="1"/>
        <rFont val="맑은 고딕"/>
        <family val="3"/>
      </rPr>
      <t>③ Property의 완성도 및 충실도에 대한 정성적 평가를 진행한다. 즉, 본 체크리스트를 통해 정량적으로 평가하지는 않지만, 이후 전문가들에 의해 Property 개수, Property 의미 등이 정성적으로 평가될 예정이다.</t>
    </r>
    <r>
      <rPr>
        <sz val="10"/>
        <color theme="1"/>
        <rFont val="맑은 고딕"/>
        <family val="3"/>
      </rPr>
      <t xml:space="preserve">
</t>
    </r>
    <r>
      <rPr>
        <b/>
        <sz val="10"/>
        <color theme="1"/>
        <rFont val="맑은 고딕"/>
        <family val="3"/>
      </rPr>
      <t>④ Technical Data, Operational Data 서브모델 포함(단, Digital Nameplate, Handover Documentation 서브모델 제외) "설비/장비의 특징을 반영하는" 최소 4개 서브모델에 대해서는, 장비 특화 추가 프로퍼티 항목에 대한 value example을  참조모델 및 활용 가이던스 문서에 제시해야 한다.</t>
    </r>
    <r>
      <rPr>
        <sz val="10"/>
        <color theme="1"/>
        <rFont val="맑은 고딕"/>
        <family val="3"/>
      </rPr>
      <t xml:space="preserve">
</t>
    </r>
    <r>
      <rPr>
        <sz val="10"/>
        <color theme="1"/>
        <rFont val="맑은 고딕"/>
        <family val="2"/>
      </rPr>
      <t>⑤ 모</t>
    </r>
    <r>
      <rPr>
        <sz val="10"/>
        <color theme="1"/>
        <rFont val="맑은 고딕"/>
        <family val="3"/>
      </rPr>
      <t>델 제출 시에는 "「AAS 제조데이터 표준 참조모델 사전 검증 보고서」 작성 요령"에 따라 사전 검증보고서를 제출하여야 한다.</t>
    </r>
  </si>
  <si>
    <t>AAS Model 정량적 검토 Checklist</t>
  </si>
  <si>
    <t>번호</t>
  </si>
  <si>
    <t>중요도</t>
  </si>
  <si>
    <t>체크사항</t>
  </si>
  <si>
    <t>체크</t>
  </si>
  <si>
    <t>비고 (검토의견)</t>
  </si>
  <si>
    <t>기본사항</t>
  </si>
  <si>
    <t>필수</t>
  </si>
  <si>
    <t>Thumnail</t>
  </si>
  <si>
    <t>AASX 파일에 Thumbnail 이미지가 포함되어 있으며, AssetInformation의 defaultThumbnail에 동일한 경로가 설정되어 있는지 확인한다.</t>
  </si>
  <si>
    <t>공통</t>
  </si>
  <si>
    <t>idShort가 설정되어 있는지 확인한다.</t>
  </si>
  <si>
    <t>idShort 명명규칙</t>
  </si>
  <si>
    <r>
      <rPr>
        <b/>
        <sz val="10"/>
        <rFont val="맑은 고딕"/>
        <family val="3"/>
        <charset val="129"/>
      </rPr>
      <t>idShort가 정의된 양식을 준수하고 있는지 확인한다.
※ 예외사항</t>
    </r>
    <r>
      <rPr>
        <b/>
        <sz val="10"/>
        <color theme="1"/>
        <rFont val="맑은 고딕"/>
        <family val="3"/>
      </rPr>
      <t xml:space="preserve">
</t>
    </r>
    <r>
      <rPr>
        <b/>
        <sz val="10"/>
        <color rgb="FFFF0000"/>
        <rFont val="맑은 고딕"/>
        <family val="3"/>
      </rPr>
      <t>Submodel Element List의 하위에 속하는 Submodel Element는 idShort를 작성하지 않아도 되며, 작성하는 경우 명명규칙을 준수하여야 함</t>
    </r>
  </si>
  <si>
    <t>AAS</t>
  </si>
  <si>
    <r>
      <rPr>
        <sz val="10"/>
        <rFont val="맑은 고딕"/>
        <family val="3"/>
        <charset val="129"/>
      </rPr>
      <t xml:space="preserve">각 항목의 Id 양식을 확인하고, IRDI 형식인지 IRI 형식인지 구분한다.
IRI인 경우, 정해진 양식을 준수하고 있는지 확인한다.
</t>
    </r>
    <r>
      <rPr>
        <b/>
        <sz val="10"/>
        <color rgb="FFFF0000"/>
        <rFont val="맑은 고딕"/>
        <family val="3"/>
      </rPr>
      <t>* administration에 버전 정보를 입력하고 ID 뒷부분 '/version' 과 일치 시킬것</t>
    </r>
  </si>
  <si>
    <t>Submodel 구성</t>
  </si>
  <si>
    <r>
      <rPr>
        <sz val="10"/>
        <rFont val="맑은 고딕"/>
        <family val="3"/>
        <charset val="129"/>
      </rPr>
      <t>AAS 모델링에서 필수적인 성격을 지닌 아래의 4가지 Submodel이 포함되어 있으며</t>
    </r>
    <r>
      <rPr>
        <b/>
        <sz val="10"/>
        <color theme="1"/>
        <rFont val="맑은 고딕"/>
        <family val="3"/>
      </rPr>
      <t xml:space="preserve"> 총 6종 이상 8종 이하의 Submodel로 구성되어 있는지 확인한다.</t>
    </r>
    <r>
      <rPr>
        <sz val="10"/>
        <color theme="1"/>
        <rFont val="맑은 고딕"/>
        <family val="3"/>
      </rPr>
      <t xml:space="preserve">
① </t>
    </r>
    <r>
      <rPr>
        <b/>
        <sz val="10"/>
        <color theme="1"/>
        <rFont val="맑은 고딕"/>
        <family val="3"/>
      </rPr>
      <t>Digital Nameplate</t>
    </r>
    <r>
      <rPr>
        <sz val="10"/>
        <color theme="1"/>
        <rFont val="맑은 고딕"/>
        <family val="3"/>
      </rPr>
      <t xml:space="preserve">, ② </t>
    </r>
    <r>
      <rPr>
        <b/>
        <sz val="10"/>
        <color theme="1"/>
        <rFont val="맑은 고딕"/>
        <family val="3"/>
      </rPr>
      <t>Handover Documentation,</t>
    </r>
    <r>
      <rPr>
        <sz val="10"/>
        <color theme="1"/>
        <rFont val="맑은 고딕"/>
        <family val="3"/>
      </rPr>
      <t xml:space="preserve">
③ Technical Data, ④ </t>
    </r>
    <r>
      <rPr>
        <sz val="10"/>
        <color theme="1"/>
        <rFont val="맑은 고딕"/>
        <family val="3"/>
      </rPr>
      <t>Operational Data</t>
    </r>
  </si>
  <si>
    <t>옵션</t>
  </si>
  <si>
    <t>globalAssetId 여부</t>
  </si>
  <si>
    <t>globalAssetId가 설정되어 있는지 확인한다.</t>
  </si>
  <si>
    <t>Type종류</t>
  </si>
  <si>
    <t>'kind'가 'Type'으로 지정되어 있는지 확인한다.</t>
  </si>
  <si>
    <t>Submodel</t>
  </si>
  <si>
    <t>최신 Version 여부</t>
  </si>
  <si>
    <t>IDTA 서브모델 템플릿을 활용하는 경우, 최신 버전의 템플릿을 사용하고 있는지 확인한다.</t>
  </si>
  <si>
    <t>Semantic ID</t>
  </si>
  <si>
    <r>
      <rPr>
        <sz val="10"/>
        <rFont val="맑은 고딕"/>
        <family val="3"/>
        <charset val="129"/>
      </rPr>
      <t xml:space="preserve">Semantic ID가 작성되어 있는지 확인한다. 
</t>
    </r>
    <r>
      <rPr>
        <sz val="10"/>
        <color theme="1"/>
        <rFont val="맑은 고딕"/>
        <family val="3"/>
      </rPr>
      <t>표준 서브모델이 아닌 경우, 적절한 형식의 IRI 식별자인지 확인한다.</t>
    </r>
  </si>
  <si>
    <t>kind</t>
  </si>
  <si>
    <t>'kind'가 'Template'으로 지정되어 있는지 확인한다</t>
  </si>
  <si>
    <t>계층 세분화</t>
  </si>
  <si>
    <r>
      <rPr>
        <b/>
        <sz val="10"/>
        <rFont val="맑은 고딕"/>
        <family val="3"/>
        <charset val="129"/>
      </rPr>
      <t xml:space="preserve">장비 특화 프로퍼티를 포함하는 서브모델이 2단계 이상의 계층 세분화가 되었는지 확인한다.
※ 예외사항
* IDTA 기본 템플릿은 계층 세분화에서 제외하며, Technical Data 서브모델의 경우 표준 구조 이외 세분화가 2단계 이상이어야 한다.
</t>
    </r>
    <r>
      <rPr>
        <b/>
        <sz val="10"/>
        <color rgb="FFFF0000"/>
        <rFont val="맑은 고딕"/>
        <family val="3"/>
      </rPr>
      <t>* 각 계층과 컬렉션은 명확한 분류 목적을 가져야 하며, 별도의 모델링 근거 없이 단순히 하위 요소만을 포함하는 중간 SMC는 계층 세분화 요건을 충족하지 않은 것으로 판단함.</t>
    </r>
  </si>
  <si>
    <t xml:space="preserve">SME
(Submodel Element) </t>
  </si>
  <si>
    <t>특수 SME 배제 여부</t>
  </si>
  <si>
    <r>
      <rPr>
        <b/>
        <sz val="10"/>
        <rFont val="맑은 고딕"/>
        <family val="3"/>
        <charset val="129"/>
      </rPr>
      <t xml:space="preserve">AAS 참조모델 개발 시 사용을 지양하는 Operation, BasicEventElement, </t>
    </r>
    <r>
      <rPr>
        <b/>
        <sz val="10"/>
        <color rgb="FFFF0000"/>
        <rFont val="맑은 고딕"/>
        <family val="3"/>
      </rPr>
      <t xml:space="preserve">Capability </t>
    </r>
    <r>
      <rPr>
        <b/>
        <sz val="10"/>
        <color theme="1"/>
        <rFont val="맑은 고딕"/>
        <family val="3"/>
      </rPr>
      <t>엘리먼트가 사용되지 않았는지 확인한다.</t>
    </r>
  </si>
  <si>
    <t>Concept Description 매핑여부</t>
  </si>
  <si>
    <t xml:space="preserve">Submodel Elements가 Concept Description과 올바르게 매핑되어 있는지 확인한다 </t>
  </si>
  <si>
    <t>SME 중
Property</t>
  </si>
  <si>
    <t>value 값 여부</t>
  </si>
  <si>
    <r>
      <rPr>
        <b/>
        <sz val="10"/>
        <rFont val="맑은 고딕"/>
        <family val="3"/>
        <charset val="129"/>
      </rPr>
      <t xml:space="preserve">value값에 Example Data가 기입 되었는지 확인한다. 
</t>
    </r>
    <r>
      <rPr>
        <b/>
        <sz val="10"/>
        <color rgb="FFFF0000"/>
        <rFont val="맑은 고딕"/>
        <family val="3"/>
      </rPr>
      <t>* DigitalNameplate, HandoverDocumentation 제외</t>
    </r>
  </si>
  <si>
    <t>Concept Description과 
data type 매칭여부</t>
  </si>
  <si>
    <t>valueType이 설정되어야 하며, 
연결된 Concept Description의 dataType과 매칭되는 데이터 타입으로 설정되어야 한다</t>
  </si>
  <si>
    <t>ConceptDescription</t>
  </si>
  <si>
    <t>각 항목의 Id 양식을 확인하고, IRDI 형식인지 IRI 형식인지 구분한다.
* IRDI인 경우, 해당 항목이 CDD/Ecl@ss에 존재하여야 한다.
* IRI인 경우, 정해진 양식을 준수하고 있는지 확인한다.</t>
  </si>
  <si>
    <t>definition 여부</t>
  </si>
  <si>
    <t>해당 항목에 대한 definition이 작성되어 있는지 확인한다.
* description이 작성되어 있는 경우도 포함</t>
  </si>
  <si>
    <t>dataType 설정여부</t>
  </si>
  <si>
    <t>Concept Description의 dataType이 설정되어 있는지 확인한다
* eCl@ss/CDD에서 dataType이 정의되어 있지 않은 경우는 제외</t>
  </si>
  <si>
    <t>- IDTA가 배포한 서브모델 내부에 자체적으로 포함되어 있는 오류에 대해서는 수정하지 않아야 한다.
- Ecl@ss, CDD에서 정의되어 있지 않은 definition은 자체적으로 정의하지 않고 그대로 사용하여야 한다.
- Property의 완성도 및 충실도에 대한 정성적 평가를 진행한다. 즉, 본 체크리스트를 통해 정량적으로 평가하지는 않지만, 이후 전문가들에 의해 Property 개수, Property 의미 등이 정성적으로 평가될 예정이다.</t>
  </si>
  <si>
    <t>합계</t>
  </si>
  <si>
    <t>AAS Model Checklist Result</t>
  </si>
  <si>
    <t>분류</t>
  </si>
  <si>
    <t>기준항목</t>
  </si>
  <si>
    <t>세부항목</t>
  </si>
  <si>
    <t>개수</t>
  </si>
  <si>
    <t>%</t>
  </si>
  <si>
    <t>단순통계</t>
  </si>
  <si>
    <t></t>
  </si>
  <si>
    <t></t>
  </si>
  <si>
    <t>-</t>
  </si>
  <si>
    <t>총 체크사항</t>
  </si>
  <si>
    <t>'중요도'기준 통계</t>
  </si>
  <si>
    <r>
      <rPr>
        <sz val="10"/>
        <color rgb="FF000000"/>
        <rFont val="맑은 고딕"/>
        <family val="3"/>
        <charset val="129"/>
      </rPr>
      <t xml:space="preserve">"필수" 中 </t>
    </r>
    <r>
      <rPr>
        <sz val="10"/>
        <color rgb="FF000000"/>
        <rFont val="Wingdings"/>
        <family val="2"/>
      </rPr>
      <t></t>
    </r>
  </si>
  <si>
    <t>필수 체크사항 충족 항목</t>
  </si>
  <si>
    <r>
      <rPr>
        <sz val="10"/>
        <color rgb="FF000000"/>
        <rFont val="맑은 고딕"/>
        <family val="3"/>
        <charset val="129"/>
      </rPr>
      <t xml:space="preserve">"필수" 中 </t>
    </r>
    <r>
      <rPr>
        <sz val="10"/>
        <color rgb="FF000000"/>
        <rFont val="Wingdings"/>
        <family val="2"/>
      </rPr>
      <t></t>
    </r>
  </si>
  <si>
    <t>필수 체크사항 불충족 항목</t>
  </si>
  <si>
    <r>
      <rPr>
        <sz val="10"/>
        <color rgb="FF000000"/>
        <rFont val="맑은 고딕"/>
        <family val="3"/>
        <charset val="129"/>
      </rPr>
      <t xml:space="preserve">"옵션" 中 </t>
    </r>
    <r>
      <rPr>
        <sz val="10"/>
        <color rgb="FF000000"/>
        <rFont val="Wingdings"/>
        <family val="2"/>
      </rPr>
      <t></t>
    </r>
  </si>
  <si>
    <t>옵션 체크사항 충족 항목</t>
  </si>
  <si>
    <r>
      <rPr>
        <sz val="10"/>
        <color rgb="FF000000"/>
        <rFont val="맑은 고딕"/>
        <family val="3"/>
        <charset val="129"/>
      </rPr>
      <t xml:space="preserve">"옵션" 中 </t>
    </r>
    <r>
      <rPr>
        <sz val="10"/>
        <color rgb="FF000000"/>
        <rFont val="Wingdings"/>
        <family val="2"/>
      </rPr>
      <t></t>
    </r>
  </si>
  <si>
    <t>옵션 체크사항 불충족 항목</t>
  </si>
  <si>
    <t>※ "AAS Model Checklist" sheet에서 각 체크사항에 대해 충족/불충족 항목들에 대한 개수를 정리한 시트입니다.</t>
  </si>
  <si>
    <t>추가 검토사항</t>
  </si>
  <si>
    <t>1. 검토자</t>
  </si>
  <si>
    <t>2. 소속</t>
  </si>
  <si>
    <t>3. 검토일</t>
  </si>
  <si>
    <t>PNG 썸네일 267098 bytes. 자산 경로와 패키지 경로 /aasx/Thumbnail.png 일치. V1.4 열기·저장·재열기 근거 확인.</t>
  </si>
  <si>
    <t>7개 SM·586개 SME 점검. SML 직속 목록 항목의 idShort 생략을 정상 구조로 처리.</t>
  </si>
  <si>
    <t>idShort 규칙 및 같은 부모의 중복 검사 이상 없음.</t>
  </si>
  <si>
    <t>AAS ID에 BandSawMachineAAS 포함, administration 1/0과 식별자 끝 버전 일치.</t>
  </si>
  <si>
    <t>필수 4개 포함 총 7개 SM. 추가 TimeSeries·ProcessParameters·PredictiveMaintenance.</t>
  </si>
  <si>
    <t>globalAssetId=https://www.smart-factory.kr/ids/asset/BandSawMachineType/1/0</t>
  </si>
  <si>
    <t>AssetInformation의 assetKind=Type.</t>
  </si>
  <si>
    <t>공식 Published 목록과 6종 최신 버전 일치(2026-09-14 확인).</t>
  </si>
  <si>
    <t>7개 SM ID에 장비명 포함. 각 administration과 ID 끝 버전·리비전 일치.</t>
  </si>
  <si>
    <t>공식 6개 SM semanticId는 제공된 원본 유지. OperationalData는 장비별 자체 IRI.</t>
  </si>
  <si>
    <t>7개 SM의 kind=Template.</t>
  </si>
  <si>
    <t>장비 특화 계층: 사양 영역→시스템→사양 묶음, 운전 시스템→모니터링 묶음. 적용 범위 설명 영역도 구분.</t>
  </si>
  <si>
    <t>Operation·BasicEventElement·Capability 0개.</t>
  </si>
  <si>
    <t>EndTime 공백·RULCondition 중복은 공식 원본 오류로 B22 예외 적용.</t>
  </si>
  <si>
    <t>값을 갖는 요소 444개, 빈 예시 값 0개. 명판·인계 문서의 복원 항목에도 예시 포함.</t>
  </si>
  <si>
    <t>자체 정의 자료형 대조 이상 없음. PM 수치형/STRING 불일치 34곳은 공식 원본 동일하여 예외 적용. 정량 체크리스트 B22 및 모델링가이드라인: IDTA 원본 오류는 임의 수정 금지.</t>
  </si>
  <si>
    <t>자체 IRI 형식 점검. 표준 IRDI는 공식 원본 및 IDTA 02032 치수 식별자 대조. UtcTime은 IDTA 02008 공식 PDF의 시간 개념. RULCondition 중복은 원본 보존 예외.</t>
  </si>
  <si>
    <t>자체 CD의 영문 정의 확인. 공식 참조의 정의 미제공 8종과 언어 중복 7건은 원본에 기인하여 예외 적용. 임의 정의 추가 없음. 정량 체크리스트 B22 및 모델링가이드라인: IDTA 원본 오류는 임의 수정 금지.</t>
  </si>
  <si>
    <t>자체 수치형 CD dataType 확인. 공식 정의 미제공 항목의 dataType은 임의 생성하지 않고 원본 보존 예외 적용. 정량 체크리스트 B22 및 모델링가이드라인: IDTA 원본 오류는 임의 수정 금지.</t>
  </si>
  <si>
    <t>검토 기준: BandSawMachine_AAS_V1.0.aasx(SHA-256 f21b0bd0…5e7642e4). 2026-09-14 재검토. 공식 원본 예외 조항 적용. Validator 통과는 사용자 실행 확인이며 Export 원문은 이번 검토에서 미열람.</t>
  </si>
  <si>
    <t>체크리스트 예외 조항 적용 포함</t>
  </si>
  <si>
    <t>미충족 항목</t>
  </si>
  <si>
    <t>4. 검토사항: 20260911153201_띠톱기계_test_result.html 마지막 실행에서 제출본 70 Passed, 오류 0건. 표준 SM 6개 검사 제외. 자동검증 외 항목은 사용자 최종 충족 판정 반영.</t>
  </si>
  <si>
    <t>5. 기타사항: 사용자 지정에 따라 예시 첨부파일과 문서 메타데이터 불일치는 이번 수정 대상에서 제외. 2026-09-11.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</si>
</sst>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맑은 고딕"/>
    </font>
    <font>
      <sz val="11"/>
      <color theme="1"/>
      <name val="맑은 고딕"/>
      <family val="3"/>
      <charset val="129"/>
    </font>
    <font>
      <b/>
      <sz val="10"/>
      <color theme="0"/>
      <name val="맑은 고딕"/>
      <family val="3"/>
      <charset val="129"/>
    </font>
    <font>
      <sz val="10"/>
      <color theme="1"/>
      <name val="맑은 고딕"/>
      <family val="3"/>
      <charset val="129"/>
    </font>
    <font>
      <b/>
      <sz val="10"/>
      <color theme="1"/>
      <name val="맑은 고딕"/>
      <family val="3"/>
      <charset val="129"/>
    </font>
    <font>
      <sz val="10"/>
      <color rgb="FF000000"/>
      <name val="맑은 고딕"/>
      <family val="3"/>
      <charset val="129"/>
    </font>
    <font>
      <sz val="10"/>
      <color theme="1"/>
      <name val="Arial Unicode MS"/>
    </font>
    <font>
      <sz val="10"/>
      <color theme="1"/>
      <name val="맑은 고딕"/>
      <family val="3"/>
      <charset val="129"/>
    </font>
    <font>
      <b/>
      <sz val="14"/>
      <color theme="0"/>
      <name val="맑은 고딕"/>
      <family val="3"/>
      <charset val="129"/>
    </font>
    <font>
      <sz val="10"/>
      <color theme="1"/>
      <name val="Wingdings"/>
      <charset val="2"/>
    </font>
    <font>
      <sz val="10"/>
      <color theme="1"/>
      <name val="맑은 고딕"/>
      <family val="3"/>
      <charset val="129"/>
    </font>
    <font>
      <sz val="11"/>
      <color rgb="FF00B050"/>
      <name val="맑은 고딕"/>
      <family val="3"/>
      <charset val="129"/>
    </font>
    <font>
      <sz val="10"/>
      <color rgb="FF00B050"/>
      <name val="맑은 고딕"/>
      <family val="3"/>
      <charset val="129"/>
    </font>
    <font>
      <sz val="11"/>
      <color rgb="FF00B050"/>
      <name val="맑은 고딕"/>
      <family val="3"/>
      <charset val="129"/>
    </font>
    <font>
      <sz val="11"/>
      <name val="맑은 고딕"/>
      <family val="3"/>
      <charset val="129"/>
    </font>
    <font>
      <b/>
      <sz val="11"/>
      <color theme="1"/>
      <name val="맑은 고딕"/>
      <family val="3"/>
      <charset val="129"/>
    </font>
    <font>
      <b/>
      <sz val="16"/>
      <color theme="0"/>
      <name val="맑은 고딕"/>
      <family val="3"/>
      <charset val="129"/>
    </font>
    <font>
      <sz val="10"/>
      <color theme="1"/>
      <name val="맑은 고딕"/>
      <family val="3"/>
      <charset val="129"/>
    </font>
    <font>
      <b/>
      <sz val="10"/>
      <color theme="1"/>
      <name val="Arial Unicode MS"/>
    </font>
    <font>
      <b/>
      <sz val="10"/>
      <color rgb="FF0070C0"/>
      <name val="맑은 고딕"/>
      <family val="3"/>
      <charset val="129"/>
    </font>
    <font>
      <b/>
      <sz val="10"/>
      <color rgb="FFFF0000"/>
      <name val="맑은 고딕"/>
      <family val="3"/>
      <charset val="129"/>
    </font>
    <font>
      <u/>
      <sz val="10"/>
      <color theme="1"/>
      <name val="맑은 고딕"/>
      <family val="3"/>
    </font>
    <font>
      <sz val="10"/>
      <color theme="1"/>
      <name val="맑은 고딕"/>
      <family val="3"/>
    </font>
    <font>
      <b/>
      <sz val="10"/>
      <color rgb="FFFF0000"/>
      <name val="맑은 고딕"/>
      <family val="2"/>
    </font>
    <font>
      <b/>
      <sz val="10"/>
      <color theme="1"/>
      <name val="맑은 고딕"/>
      <family val="3"/>
    </font>
    <font>
      <b/>
      <sz val="10"/>
      <color rgb="FFFF0000"/>
      <name val="맑은 고딕"/>
      <family val="3"/>
    </font>
    <font>
      <b/>
      <sz val="10"/>
      <color rgb="FF0070C0"/>
      <name val="맑은 고딕"/>
      <family val="2"/>
    </font>
    <font>
      <sz val="10"/>
      <color rgb="FFFF0000"/>
      <name val="맑은 고딕"/>
      <family val="3"/>
    </font>
    <font>
      <sz val="10"/>
      <color rgb="FF000000"/>
      <name val="맑은 고딕"/>
      <family val="3"/>
    </font>
    <font>
      <sz val="10"/>
      <color theme="1"/>
      <name val="맑은 고딕"/>
      <family val="2"/>
    </font>
    <font>
      <b/>
      <sz val="10"/>
      <name val="맑은 고딕"/>
      <family val="3"/>
      <charset val="129"/>
    </font>
    <font>
      <sz val="10"/>
      <name val="맑은 고딕"/>
      <family val="3"/>
      <charset val="129"/>
    </font>
    <font>
      <sz val="10"/>
      <color rgb="FF000000"/>
      <name val="Wingdings"/>
      <family val="2"/>
    </font>
    <font>
      <sz val="8"/>
      <name val="돋움"/>
      <family val="3"/>
      <charset val="129"/>
    </font>
    <font>
      <b/>
      <sz val="10"/>
      <color rgb="FF000000"/>
      <name val="맑은 고딕"/>
      <family val="3"/>
      <charset val="129"/>
    </font>
  </fonts>
  <fills count="7">
    <fill>
      <patternFill patternType="none"/>
    </fill>
    <fill>
      <patternFill patternType="gray125"/>
    </fill>
    <fill>
      <patternFill patternType="solid">
        <fgColor rgb="FFFFFFCC"/>
      </patternFill>
    </fill>
    <fill>
      <patternFill patternType="solid">
        <fgColor rgb="FF0000FF"/>
      </patternFill>
    </fill>
    <fill>
      <patternFill patternType="solid">
        <fgColor rgb="FFC0CCFF"/>
      </patternFill>
    </fill>
    <fill>
      <patternFill patternType="solid">
        <fgColor theme="0" tint="-0.14999847407452621"/>
        <bgColor indexed="65"/>
      </patternFill>
    </fill>
    <fill>
      <patternFill patternType="solid">
        <fgColor rgb="FFFFFFCC"/>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2">
    <xf numFmtId="0" fontId="0" fillId="0" borderId="0">
      <alignment vertical="center"/>
    </xf>
    <xf numFmtId="0" fontId="1" fillId="2" borderId="1" applyNumberFormat="0" applyFont="0" applyAlignment="0" applyProtection="0">
      <alignment vertical="center"/>
    </xf>
  </cellStyleXfs>
  <cellXfs count="78">
    <xf numFmtId="0" fontId="0" fillId="0" borderId="0" xfId="0">
      <alignment vertical="center"/>
    </xf>
    <xf numFmtId="0" fontId="4" fillId="4" borderId="2" xfId="0" applyFont="1" applyFill="1" applyBorder="1" applyAlignment="1">
      <alignment horizontal="center" vertical="center"/>
    </xf>
    <xf numFmtId="0" fontId="4" fillId="4" borderId="2" xfId="0" applyFont="1" applyFill="1" applyBorder="1" applyAlignment="1">
      <alignment horizontal="center" vertical="center" wrapText="1"/>
    </xf>
    <xf numFmtId="0" fontId="4" fillId="5" borderId="2" xfId="0" applyFont="1" applyFill="1" applyBorder="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horizontal="left" vertical="center" wrapText="1"/>
    </xf>
    <xf numFmtId="0" fontId="5" fillId="0" borderId="2" xfId="0" applyFont="1" applyBorder="1" applyAlignment="1">
      <alignment horizontal="left" vertical="center" wrapText="1"/>
    </xf>
    <xf numFmtId="0" fontId="3" fillId="0" borderId="0" xfId="0" applyFont="1">
      <alignment vertical="center"/>
    </xf>
    <xf numFmtId="0" fontId="4" fillId="0" borderId="2" xfId="0" applyFont="1" applyBorder="1" applyAlignment="1">
      <alignment horizontal="center" vertical="center"/>
    </xf>
    <xf numFmtId="0" fontId="3" fillId="0" borderId="2" xfId="0" applyFont="1" applyBorder="1" applyAlignment="1">
      <alignment horizontal="center" vertical="center" wrapText="1"/>
    </xf>
    <xf numFmtId="0" fontId="7" fillId="0" borderId="2" xfId="0" applyFont="1" applyBorder="1" applyAlignment="1">
      <alignment horizontal="center" vertical="center"/>
    </xf>
    <xf numFmtId="0" fontId="7" fillId="0" borderId="0" xfId="0" applyFont="1">
      <alignment vertical="center"/>
    </xf>
    <xf numFmtId="0" fontId="2" fillId="0" borderId="0" xfId="0" applyFont="1">
      <alignment vertical="center"/>
    </xf>
    <xf numFmtId="0" fontId="7" fillId="2" borderId="2" xfId="1" applyFont="1" applyBorder="1" applyAlignment="1">
      <alignment horizontal="center" vertical="center"/>
    </xf>
    <xf numFmtId="0" fontId="7" fillId="2" borderId="2" xfId="1" applyFont="1" applyBorder="1" applyAlignment="1">
      <alignment horizontal="center" vertical="center" wrapText="1"/>
    </xf>
    <xf numFmtId="0" fontId="3" fillId="0" borderId="2" xfId="0" applyFont="1" applyBorder="1" applyAlignment="1">
      <alignment horizontal="center" vertical="center" wrapText="1"/>
      <extLst>
        <ext xmlns:xfpb="http://schemas.microsoft.com/office/spreadsheetml/2022/featurepropertybag" uri="{C7286773-470A-42A8-94C5-96B5CB345126}">
          <xfpb:xfComplement i="0"/>
        </ext>
      </extLst>
    </xf>
    <xf numFmtId="0" fontId="6" fillId="0" borderId="0" xfId="0" applyFont="1">
      <alignment vertical="center"/>
    </xf>
    <xf numFmtId="0" fontId="0" fillId="0" borderId="0" xfId="0" applyAlignment="1">
      <alignment vertical="center" wrapText="1"/>
    </xf>
    <xf numFmtId="0" fontId="10" fillId="0" borderId="0" xfId="0" applyFont="1" applyAlignment="1">
      <alignment vertical="center" wrapText="1"/>
    </xf>
    <xf numFmtId="0" fontId="7" fillId="0" borderId="0" xfId="0" applyFont="1" applyAlignment="1">
      <alignment vertical="center" wrapText="1"/>
    </xf>
    <xf numFmtId="0" fontId="0" fillId="0" borderId="0" xfId="0" applyAlignment="1">
      <alignment horizontal="center" vertical="center"/>
    </xf>
    <xf numFmtId="0" fontId="11" fillId="0" borderId="0" xfId="0" applyFont="1">
      <alignment vertical="center"/>
    </xf>
    <xf numFmtId="0" fontId="12" fillId="0" borderId="0" xfId="0" applyFont="1" applyAlignment="1">
      <alignment vertical="center" wrapText="1"/>
    </xf>
    <xf numFmtId="0" fontId="13" fillId="0" borderId="0" xfId="0" applyFont="1" applyAlignment="1">
      <alignment vertical="center" wrapText="1"/>
    </xf>
    <xf numFmtId="0" fontId="14" fillId="0" borderId="0" xfId="0" applyFont="1" applyAlignment="1">
      <alignment horizontal="center" vertical="center"/>
    </xf>
    <xf numFmtId="0" fontId="7" fillId="0" borderId="0" xfId="0" applyFont="1" applyAlignment="1">
      <alignment horizontal="center" vertical="center" wrapText="1"/>
    </xf>
    <xf numFmtId="0" fontId="15" fillId="4" borderId="2" xfId="0" applyFont="1" applyFill="1" applyBorder="1" applyAlignment="1">
      <alignment horizontal="center" vertical="center"/>
    </xf>
    <xf numFmtId="0" fontId="2" fillId="0" borderId="0" xfId="0" applyFont="1" applyAlignment="1">
      <alignment vertical="center" wrapText="1"/>
    </xf>
    <xf numFmtId="0" fontId="9" fillId="0" borderId="0" xfId="0" applyFont="1">
      <alignment vertical="center"/>
    </xf>
    <xf numFmtId="0" fontId="17" fillId="0" borderId="2" xfId="0" applyFont="1" applyBorder="1" applyAlignment="1">
      <alignment horizontal="center" vertical="center"/>
    </xf>
    <xf numFmtId="0" fontId="17" fillId="6" borderId="2" xfId="0" applyFont="1" applyFill="1" applyBorder="1" applyAlignment="1">
      <alignment horizontal="center" vertical="center"/>
    </xf>
    <xf numFmtId="0" fontId="3" fillId="0" borderId="2" xfId="0" applyFont="1" applyBorder="1" applyAlignment="1">
      <alignment vertical="center" wrapText="1"/>
    </xf>
    <xf numFmtId="0" fontId="7" fillId="0" borderId="2" xfId="0" applyFont="1" applyBorder="1" applyAlignment="1">
      <alignment horizontal="center" vertical="center" wrapText="1"/>
      <extLst>
        <ext xmlns:xfpb="http://schemas.microsoft.com/office/spreadsheetml/2022/featurepropertybag" uri="{C7286773-470A-42A8-94C5-96B5CB345126}">
          <xfpb:xfComplement i="0"/>
        </ext>
      </extLst>
    </xf>
    <xf numFmtId="0" fontId="18" fillId="0" borderId="2" xfId="0" applyFont="1" applyBorder="1" applyAlignment="1">
      <alignment horizontal="center" vertical="center"/>
    </xf>
    <xf numFmtId="0" fontId="19" fillId="0" borderId="2" xfId="0" applyFont="1" applyBorder="1" applyAlignment="1">
      <alignment horizontal="left" vertical="center" wrapText="1"/>
    </xf>
    <xf numFmtId="0" fontId="4" fillId="0" borderId="2" xfId="0" applyFont="1" applyBorder="1" applyAlignment="1">
      <alignment horizontal="center" vertical="center" wrapText="1"/>
    </xf>
    <xf numFmtId="0" fontId="10" fillId="0" borderId="2" xfId="0" applyFont="1" applyBorder="1" applyAlignment="1">
      <alignment horizontal="left" vertical="center" wrapText="1"/>
    </xf>
    <xf numFmtId="0" fontId="4" fillId="0" borderId="2" xfId="0" applyFont="1" applyBorder="1" applyAlignment="1">
      <alignment horizontal="left" vertical="center" wrapText="1"/>
    </xf>
    <xf numFmtId="0" fontId="20" fillId="0" borderId="2" xfId="0" applyFont="1" applyBorder="1" applyAlignment="1">
      <alignment horizontal="left" vertical="center" wrapText="1"/>
    </xf>
    <xf numFmtId="0" fontId="15" fillId="4" borderId="2" xfId="0" applyFont="1" applyFill="1" applyBorder="1" applyAlignment="1">
      <alignment horizontal="center" vertical="center" wrapText="1"/>
    </xf>
    <xf numFmtId="0" fontId="8" fillId="3" borderId="6"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8" xfId="0" applyFont="1" applyFill="1" applyBorder="1" applyAlignment="1">
      <alignment horizontal="center" vertical="center"/>
    </xf>
    <xf numFmtId="0" fontId="4" fillId="5" borderId="2" xfId="0" applyFont="1" applyFill="1" applyBorder="1" applyAlignment="1">
      <alignment horizontal="center" vertical="center" wrapText="1"/>
    </xf>
    <xf numFmtId="0" fontId="4" fillId="5" borderId="2" xfId="0" applyFont="1" applyFill="1" applyBorder="1" applyAlignment="1">
      <alignment horizontal="center" vertical="center"/>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49" fontId="3" fillId="0" borderId="6" xfId="0" applyNumberFormat="1" applyFont="1" applyBorder="1" applyAlignment="1">
      <alignment horizontal="left" vertical="center" wrapText="1"/>
    </xf>
    <xf numFmtId="49" fontId="3" fillId="0" borderId="7" xfId="0" applyNumberFormat="1" applyFont="1" applyBorder="1" applyAlignment="1">
      <alignment horizontal="left" vertical="center"/>
    </xf>
    <xf numFmtId="49" fontId="3" fillId="0" borderId="8" xfId="0" applyNumberFormat="1" applyFont="1" applyBorder="1" applyAlignment="1">
      <alignment horizontal="left" vertical="center"/>
    </xf>
    <xf numFmtId="0" fontId="4" fillId="5" borderId="3"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7" fillId="0" borderId="0" xfId="0" applyFont="1" applyAlignment="1">
      <alignment horizontal="center" vertical="center"/>
    </xf>
    <xf numFmtId="0" fontId="8" fillId="3" borderId="9" xfId="0" applyFont="1" applyFill="1" applyBorder="1" applyAlignment="1">
      <alignment horizontal="center" vertical="center"/>
    </xf>
    <xf numFmtId="0" fontId="8" fillId="3" borderId="0" xfId="0" applyFont="1" applyFill="1" applyAlignment="1">
      <alignment horizontal="center" vertical="center"/>
    </xf>
    <xf numFmtId="0" fontId="4" fillId="4" borderId="2" xfId="0" applyFont="1" applyFill="1" applyBorder="1" applyAlignment="1">
      <alignment horizontal="center" vertical="center"/>
    </xf>
    <xf numFmtId="0" fontId="7" fillId="0" borderId="2" xfId="0" applyFont="1" applyBorder="1" applyAlignment="1">
      <alignment horizontal="center" vertical="center"/>
    </xf>
    <xf numFmtId="0" fontId="9" fillId="0" borderId="2" xfId="0" applyFont="1" applyBorder="1" applyAlignment="1">
      <alignment horizontal="center" vertical="center"/>
      <extLst>
        <ext xmlns:xfpb="http://schemas.microsoft.com/office/spreadsheetml/2022/featurepropertybag" uri="{C7286773-470A-42A8-94C5-96B5CB345126}">
          <xfpb:xfComplement i="0"/>
        </ext>
      </extLst>
    </xf>
    <xf numFmtId="0" fontId="7" fillId="0" borderId="2" xfId="0" applyFont="1" applyBorder="1" applyAlignment="1">
      <alignment horizontal="center" vertical="center"/>
      <extLst>
        <ext xmlns:xfpb="http://schemas.microsoft.com/office/spreadsheetml/2022/featurepropertybag" uri="{C7286773-470A-42A8-94C5-96B5CB345126}">
          <xfpb:xfComplement i="0"/>
        </ext>
      </extLst>
    </xf>
    <xf numFmtId="0" fontId="0" fillId="0" borderId="0" xfId="0"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left" vertical="center" wrapText="1"/>
    </xf>
    <xf numFmtId="0" fontId="0" fillId="0" borderId="2" xfId="0" applyBorder="1" applyAlignment="1">
      <alignment horizontal="left" vertical="center"/>
    </xf>
    <xf numFmtId="0" fontId="16" fillId="3" borderId="2" xfId="0" applyFont="1" applyFill="1" applyBorder="1" applyAlignment="1">
      <alignment horizontal="center" vertical="center"/>
    </xf>
    <xf numFmtId="0" fontId="0" fillId="3" borderId="2" xfId="0" applyFill="1" applyBorder="1" applyAlignment="1">
      <alignment horizontal="center" vertical="center"/>
    </xf>
    <xf numFmtId="0" fontId="15" fillId="4" borderId="2" xfId="0" applyFont="1" applyFill="1"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15" fillId="4" borderId="3" xfId="0" applyFont="1" applyFill="1" applyBorder="1" applyAlignment="1">
      <alignment horizontal="center" vertical="center"/>
    </xf>
    <xf numFmtId="0" fontId="0" fillId="4" borderId="5" xfId="0" applyFill="1" applyBorder="1" applyAlignment="1">
      <alignment horizontal="center" vertical="center"/>
    </xf>
    <xf numFmtId="0" fontId="34" fillId="0" borderId="0" xfId="0" applyFont="1">
      <alignment vertical="center"/>
    </xf>
  </cellXfs>
  <cellStyles count="2">
    <cellStyle name="메모" xfId="1" xr:uid="{00000000-0005-0000-0000-000000000000}"/>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Types" Target="richData/rdRichValueTypes.xml"/><Relationship Id="rId5" Type="http://schemas.openxmlformats.org/officeDocument/2006/relationships/theme" Target="theme/theme1.xml"/><Relationship Id="rId10" Type="http://schemas.microsoft.com/office/2017/06/relationships/rdRichValueStructure" Target="richData/rdrichvaluestructure.xml"/><Relationship Id="rId4" Type="http://schemas.openxmlformats.org/officeDocument/2006/relationships/worksheet" Target="worksheets/sheet4.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142257</xdr:colOff>
      <xdr:row>5</xdr:row>
      <xdr:rowOff>847723</xdr:rowOff>
    </xdr:from>
    <xdr:to>
      <xdr:col>3</xdr:col>
      <xdr:colOff>4843457</xdr:colOff>
      <xdr:row>5</xdr:row>
      <xdr:rowOff>2487133</xdr:rowOff>
    </xdr:to>
    <xdr:pic>
      <xdr:nvPicPr>
        <xdr:cNvPr id="2" name="/xl/media/image.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12</v>
    <v>3</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
  <sheetViews>
    <sheetView workbookViewId="0">
      <selection sqref="A1:D1"/>
    </sheetView>
  </sheetViews>
  <sheetFormatPr defaultColWidth="8.875" defaultRowHeight="16.5"/>
  <cols>
    <col min="1" max="1" width="15.5" style="7" customWidth="1"/>
    <col min="2" max="2" width="26.5" style="7" customWidth="1"/>
    <col min="3" max="3" width="62.5" style="7" customWidth="1"/>
    <col min="4" max="4" width="65" style="7" customWidth="1"/>
    <col min="5" max="5" width="8.875" customWidth="1"/>
    <col min="6" max="6" width="8.875" style="17" customWidth="1"/>
  </cols>
  <sheetData>
    <row r="1" spans="1:6" ht="20.25">
      <c r="A1" s="40" t="s">
        <v>0</v>
      </c>
      <c r="B1" s="41"/>
      <c r="C1" s="41"/>
      <c r="D1" s="42"/>
    </row>
    <row r="2" spans="1:6">
      <c r="A2" s="1" t="s">
        <v>1</v>
      </c>
      <c r="B2" s="1" t="s">
        <v>2</v>
      </c>
      <c r="C2" s="2" t="s">
        <v>3</v>
      </c>
      <c r="D2" s="1" t="s">
        <v>4</v>
      </c>
    </row>
    <row r="3" spans="1:6" ht="44.25" customHeight="1">
      <c r="A3" s="47" t="s">
        <v>5</v>
      </c>
      <c r="B3" s="45" t="s">
        <v>6</v>
      </c>
      <c r="C3" s="46"/>
      <c r="D3" s="35" t="e" vm="1">
        <v>#VALUE!</v>
      </c>
    </row>
    <row r="4" spans="1:6" ht="51" customHeight="1">
      <c r="A4" s="48"/>
      <c r="B4" s="4" t="s">
        <v>7</v>
      </c>
      <c r="C4" s="5" t="s">
        <v>8</v>
      </c>
      <c r="D4" s="8"/>
    </row>
    <row r="5" spans="1:6" ht="78" customHeight="1">
      <c r="A5" s="48"/>
      <c r="B5" s="9" t="s">
        <v>9</v>
      </c>
      <c r="C5" s="5" t="s">
        <v>10</v>
      </c>
      <c r="D5" s="8"/>
    </row>
    <row r="6" spans="1:6" ht="283.5">
      <c r="A6" s="48"/>
      <c r="B6" s="4" t="s">
        <v>11</v>
      </c>
      <c r="C6" s="5" t="s">
        <v>12</v>
      </c>
      <c r="D6" s="4"/>
      <c r="F6" s="18"/>
    </row>
    <row r="7" spans="1:6" ht="182.45" customHeight="1">
      <c r="A7" s="49"/>
      <c r="B7" s="8" t="s">
        <v>13</v>
      </c>
      <c r="C7" s="34" t="s">
        <v>14</v>
      </c>
      <c r="D7" s="10" t="e" vm="1">
        <v>#VALUE!</v>
      </c>
      <c r="F7" s="18"/>
    </row>
    <row r="8" spans="1:6" ht="94.5">
      <c r="A8" s="43" t="s">
        <v>15</v>
      </c>
      <c r="B8" s="4" t="s">
        <v>16</v>
      </c>
      <c r="C8" s="6" t="s">
        <v>17</v>
      </c>
      <c r="D8" s="4"/>
    </row>
    <row r="9" spans="1:6" ht="61.5" customHeight="1">
      <c r="A9" s="44"/>
      <c r="B9" s="4" t="s">
        <v>18</v>
      </c>
      <c r="C9" s="5" t="s">
        <v>19</v>
      </c>
      <c r="D9" s="4"/>
    </row>
    <row r="10" spans="1:6" ht="94.5">
      <c r="A10" s="44"/>
      <c r="B10" s="4" t="s">
        <v>20</v>
      </c>
      <c r="C10" s="36" t="s">
        <v>21</v>
      </c>
      <c r="D10" s="4"/>
    </row>
    <row r="11" spans="1:6" ht="243">
      <c r="A11" s="44"/>
      <c r="B11" s="4" t="s">
        <v>22</v>
      </c>
      <c r="C11" s="31" t="s">
        <v>23</v>
      </c>
      <c r="D11" s="4"/>
    </row>
    <row r="16" spans="1:6">
      <c r="B16"/>
    </row>
  </sheetData>
  <mergeCells count="4">
    <mergeCell ref="A1:D1"/>
    <mergeCell ref="A8:A11"/>
    <mergeCell ref="B3:C3"/>
    <mergeCell ref="A3:A7"/>
  </mergeCells>
  <phoneticPr fontId="33"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9"/>
  <sheetViews>
    <sheetView showGridLines="0" topLeftCell="A14" workbookViewId="0">
      <selection sqref="A1:G1"/>
    </sheetView>
  </sheetViews>
  <sheetFormatPr defaultColWidth="8.875" defaultRowHeight="16.5"/>
  <cols>
    <col min="1" max="1" width="17.5" style="12" customWidth="1"/>
    <col min="2" max="2" width="4.5" style="12" customWidth="1"/>
    <col min="3" max="3" width="6.375" style="12" customWidth="1"/>
    <col min="4" max="4" width="26.5" style="12" customWidth="1"/>
    <col min="5" max="5" width="71.375" style="12" customWidth="1"/>
    <col min="6" max="6" width="10" style="12" customWidth="1"/>
    <col min="7" max="7" width="65" style="27" customWidth="1"/>
    <col min="8" max="8" width="24" customWidth="1"/>
    <col min="9" max="9" width="107.375" style="19" customWidth="1"/>
    <col min="10" max="10" width="13" style="20" customWidth="1"/>
    <col min="11" max="11" width="39.5" customWidth="1"/>
  </cols>
  <sheetData>
    <row r="1" spans="1:11" ht="20.25">
      <c r="A1" s="40" t="s">
        <v>24</v>
      </c>
      <c r="B1" s="41"/>
      <c r="C1" s="41"/>
      <c r="D1" s="41"/>
      <c r="E1" s="41"/>
      <c r="F1" s="41"/>
      <c r="G1" s="42"/>
      <c r="I1" s="25"/>
      <c r="K1" s="20"/>
    </row>
    <row r="2" spans="1:11">
      <c r="A2" s="1" t="s">
        <v>1</v>
      </c>
      <c r="B2" s="1" t="s">
        <v>25</v>
      </c>
      <c r="C2" s="1" t="s">
        <v>26</v>
      </c>
      <c r="D2" s="1" t="s">
        <v>27</v>
      </c>
      <c r="E2" s="2" t="s">
        <v>3</v>
      </c>
      <c r="F2" s="2" t="s">
        <v>28</v>
      </c>
      <c r="G2" s="2" t="s">
        <v>29</v>
      </c>
      <c r="K2" s="21"/>
    </row>
    <row r="3" spans="1:11" ht="24" customHeight="1">
      <c r="A3" s="3" t="s">
        <v>30</v>
      </c>
      <c r="B3" s="4">
        <v>1</v>
      </c>
      <c r="C3" s="4" t="s">
        <v>31</v>
      </c>
      <c r="D3" s="4" t="s">
        <v>32</v>
      </c>
      <c r="E3" s="38" t="s">
        <v>33</v>
      </c>
      <c r="F3" s="15" t="b">
        <v>1</v>
      </c>
      <c r="G3" s="31" t="s">
        <v>99</v>
      </c>
      <c r="K3" s="21"/>
    </row>
    <row r="4" spans="1:11" ht="17.100000000000001" customHeight="1">
      <c r="A4" s="47" t="s">
        <v>34</v>
      </c>
      <c r="B4" s="8">
        <v>2</v>
      </c>
      <c r="C4" s="8" t="s">
        <v>31</v>
      </c>
      <c r="D4" s="8" t="s">
        <v>16</v>
      </c>
      <c r="E4" s="37" t="s">
        <v>35</v>
      </c>
      <c r="F4" s="15" t="b">
        <v>1</v>
      </c>
      <c r="G4" s="31" t="inlineStr">
        <is>
          <t>7개 SM·592개 SME 점검. ProcessBoM 투입 소재 6개 추가; SML 직속 항목 idShort 생략 유지.</t>
        </is>
      </c>
      <c r="K4" s="21"/>
    </row>
    <row r="5" spans="1:11" ht="60" customHeight="1">
      <c r="A5" s="49"/>
      <c r="B5" s="8">
        <v>3</v>
      </c>
      <c r="C5" s="8" t="s">
        <v>31</v>
      </c>
      <c r="D5" s="8" t="s">
        <v>36</v>
      </c>
      <c r="E5" s="37" t="s">
        <v>37</v>
      </c>
      <c r="F5" s="15" t="b">
        <v>1</v>
      </c>
      <c r="G5" s="31" t="s">
        <v>101</v>
      </c>
      <c r="K5" s="21"/>
    </row>
    <row r="6" spans="1:11" ht="48" customHeight="1">
      <c r="A6" s="47" t="s">
        <v>38</v>
      </c>
      <c r="B6" s="4">
        <v>4</v>
      </c>
      <c r="C6" s="4" t="s">
        <v>31</v>
      </c>
      <c r="D6" s="4" t="s">
        <v>18</v>
      </c>
      <c r="E6" s="5" t="s">
        <v>39</v>
      </c>
      <c r="F6" s="15" t="b">
        <v>1</v>
      </c>
      <c r="G6" s="5" t="s">
        <v>102</v>
      </c>
      <c r="K6" s="21"/>
    </row>
    <row r="7" spans="1:11" ht="48" customHeight="1">
      <c r="A7" s="48"/>
      <c r="B7" s="4">
        <v>5</v>
      </c>
      <c r="C7" s="4" t="s">
        <v>31</v>
      </c>
      <c r="D7" s="4" t="s">
        <v>40</v>
      </c>
      <c r="E7" s="5" t="s">
        <v>41</v>
      </c>
      <c r="F7" s="15" t="b">
        <v>1</v>
      </c>
      <c r="G7" s="6" t="s">
        <v>103</v>
      </c>
      <c r="K7" s="21"/>
    </row>
    <row r="8" spans="1:11" ht="17.100000000000001" customHeight="1">
      <c r="A8" s="48"/>
      <c r="B8" s="4">
        <v>6</v>
      </c>
      <c r="C8" s="4" t="s">
        <v>42</v>
      </c>
      <c r="D8" s="4" t="s">
        <v>43</v>
      </c>
      <c r="E8" s="5" t="s">
        <v>44</v>
      </c>
      <c r="F8" s="15" t="b">
        <v>1</v>
      </c>
      <c r="G8" s="6" t="s">
        <v>104</v>
      </c>
      <c r="K8" s="21"/>
    </row>
    <row r="9" spans="1:11" ht="17.100000000000001" customHeight="1">
      <c r="A9" s="49"/>
      <c r="B9" s="4">
        <v>7</v>
      </c>
      <c r="C9" s="4" t="s">
        <v>31</v>
      </c>
      <c r="D9" s="4" t="s">
        <v>45</v>
      </c>
      <c r="E9" s="5" t="s">
        <v>46</v>
      </c>
      <c r="F9" s="15" t="b">
        <v>1</v>
      </c>
      <c r="G9" s="6" t="s">
        <v>105</v>
      </c>
      <c r="K9" s="21"/>
    </row>
    <row r="10" spans="1:11" ht="42" customHeight="1">
      <c r="A10" s="47" t="s">
        <v>47</v>
      </c>
      <c r="B10" s="8">
        <v>8</v>
      </c>
      <c r="C10" s="8" t="s">
        <v>31</v>
      </c>
      <c r="D10" s="8" t="s">
        <v>48</v>
      </c>
      <c r="E10" s="37" t="s">
        <v>49</v>
      </c>
      <c r="F10" s="15" t="b">
        <v>1</v>
      </c>
      <c r="G10" s="6" t="inlineStr">
        <is>
          <t xml:space="preserve">수동 대조: 패키지 내 공식 Published 6종 및 가이던스 확인. TimeSeries PDF 1.1 / 적용 AASX·JSON 1.1.1 구분. 기존 True 유지.</t>
        </is>
      </c>
      <c r="K10" s="21"/>
    </row>
    <row r="11" spans="1:11" ht="48" customHeight="1">
      <c r="A11" s="48"/>
      <c r="B11" s="4">
        <v>9</v>
      </c>
      <c r="C11" s="4" t="s">
        <v>31</v>
      </c>
      <c r="D11" s="4" t="s">
        <v>18</v>
      </c>
      <c r="E11" s="5" t="s">
        <v>39</v>
      </c>
      <c r="F11" s="15" t="b">
        <v>1</v>
      </c>
      <c r="G11" s="6" t="s">
        <v>107</v>
      </c>
      <c r="K11" s="23"/>
    </row>
    <row r="12" spans="1:11" ht="24" customHeight="1">
      <c r="A12" s="48"/>
      <c r="B12" s="4">
        <v>10</v>
      </c>
      <c r="C12" s="4" t="s">
        <v>31</v>
      </c>
      <c r="D12" s="4" t="s">
        <v>50</v>
      </c>
      <c r="E12" s="5" t="s">
        <v>51</v>
      </c>
      <c r="F12" s="15" t="b">
        <v>1</v>
      </c>
      <c r="G12" s="6" t="s">
        <v>108</v>
      </c>
      <c r="J12" s="24"/>
      <c r="K12" s="21"/>
    </row>
    <row r="13" spans="1:11" ht="17.100000000000001" customHeight="1">
      <c r="A13" s="48"/>
      <c r="B13" s="4">
        <v>11</v>
      </c>
      <c r="C13" s="4" t="s">
        <v>31</v>
      </c>
      <c r="D13" s="4" t="s">
        <v>52</v>
      </c>
      <c r="E13" s="5" t="s">
        <v>53</v>
      </c>
      <c r="F13" s="15" t="b">
        <v>1</v>
      </c>
      <c r="G13" s="5" t="s">
        <v>109</v>
      </c>
      <c r="K13" s="21"/>
    </row>
    <row r="14" spans="1:11" ht="84" customHeight="1">
      <c r="A14" s="49"/>
      <c r="B14" s="8">
        <v>12</v>
      </c>
      <c r="C14" s="8" t="s">
        <v>42</v>
      </c>
      <c r="D14" s="8" t="s">
        <v>54</v>
      </c>
      <c r="E14" s="37" t="s">
        <v>55</v>
      </c>
      <c r="F14" s="15" t="b">
        <v>1</v>
      </c>
      <c r="G14" s="5" t="s">
        <v>110</v>
      </c>
      <c r="K14" s="21"/>
    </row>
    <row r="15" spans="1:11" ht="24" customHeight="1">
      <c r="A15" s="56" t="s">
        <v>56</v>
      </c>
      <c r="B15" s="8">
        <v>13</v>
      </c>
      <c r="C15" s="8" t="s">
        <v>42</v>
      </c>
      <c r="D15" s="35" t="s">
        <v>57</v>
      </c>
      <c r="E15" s="37" t="s">
        <v>58</v>
      </c>
      <c r="F15" s="15" t="b">
        <v>1</v>
      </c>
      <c r="G15" s="5" t="s">
        <v>111</v>
      </c>
      <c r="K15" s="21"/>
    </row>
    <row r="16" spans="1:11" ht="235" customHeight="1">
      <c r="A16" s="57"/>
      <c r="B16" s="4">
        <v>14</v>
      </c>
      <c r="C16" s="4" t="s">
        <v>31</v>
      </c>
      <c r="D16" s="4" t="s">
        <v>59</v>
      </c>
      <c r="E16" s="5" t="s">
        <v>60</v>
      </c>
      <c r="F16" s="15" t="b">
        <v>1</v>
      </c>
      <c r="G16" s="5" t="inlineStr">
        <is>
          <t>충족. CD 매핑 검사는 Passed이며, KOSMO-CD #2의 Id 형식 검사 Failed와는 다른 항목이다.
오판 원인: Validator가 공식 admin-shell.io IRI에도 자체 정의용 smart-factory.kr/ids/cd/{idShort}/{version}/{revision} 형식을 일괄 요구하였다.
대상 5건: UtcTime, AddressInformation, RemainingUsefulLifetime, ConditionName, ListPreAlerts.
근거: IDTA Time Series Data 1.1 명세의 UtcTime, Digital Nameplate 3.0.1 및 Predictive Maintenance 1.0 원본의 공식 식별자이다. 본 체크리스트의 IRI 규칙도 IDTA 표준 IRI를 변경 없이 사용하도록 명시한다.
따라서 이 5건을 자체 IRI로 바꾸면 공식 원본과의 의미 식별자 일치성이 훼손되고, CD ID만 바꾸면 기존 semanticId 참조도 끊어질 수 있다. 공식 IRI를 유지하고 이 형식 오류에 한해서 Validator 오판으로 판정한다. 전체 결과는 69 Passed·1 Failed이며, 나머지 오류까지 무시한다는 뜻은 아니다.</t>
        </is>
      </c>
      <c r="K16" s="21"/>
    </row>
    <row r="17" spans="1:11" ht="36" customHeight="1">
      <c r="A17" s="56" t="s">
        <v>61</v>
      </c>
      <c r="B17" s="8">
        <v>15</v>
      </c>
      <c r="C17" s="8" t="s">
        <v>31</v>
      </c>
      <c r="D17" s="8" t="s">
        <v>62</v>
      </c>
      <c r="E17" s="37" t="s">
        <v>63</v>
      </c>
      <c r="F17" s="15" t="b">
        <v>1</v>
      </c>
      <c r="G17" s="31" t="inlineStr">
        <is>
          <t>값 보유 요소 449개, 빈 예시값 0개. 투입 소재는 SM45C·120 mm·6000 mm와 비식별 품목 ID 예시.</t>
        </is>
      </c>
      <c r="K17" s="21"/>
    </row>
    <row r="18" spans="1:11" ht="24" customHeight="1">
      <c r="A18" s="57"/>
      <c r="B18" s="4">
        <v>16</v>
      </c>
      <c r="C18" s="4" t="s">
        <v>31</v>
      </c>
      <c r="D18" s="9" t="s">
        <v>64</v>
      </c>
      <c r="E18" s="5" t="s">
        <v>65</v>
      </c>
      <c r="F18" s="32" t="b">
        <v>1</v>
      </c>
      <c r="G18" s="31" t="s">
        <v>114</v>
      </c>
      <c r="K18" s="21"/>
    </row>
    <row r="19" spans="1:11" ht="150" customHeight="1">
      <c r="A19" s="47" t="s">
        <v>66</v>
      </c>
      <c r="B19" s="4">
        <v>17</v>
      </c>
      <c r="C19" s="4" t="s">
        <v>31</v>
      </c>
      <c r="D19" s="4" t="s">
        <v>18</v>
      </c>
      <c r="E19" s="5" t="s">
        <v>67</v>
      </c>
      <c r="F19" s="15" t="b">
        <v>1</v>
      </c>
      <c r="G19" s="5" t="inlineStr">
        <is>
          <t>자체 IRI 형식 점검. 표준 IRDI는 공식 원본 및 IDTA 02032 치수 식별자 대조. UtcTime은 IDTA 02008 공식 PDF의 시간 개념. RULCondition 중복은 원본 보존 예외.
KOSMO-CD #2 Failed 1건은 UtcTime·AddressInformation·RemainingUsefulLifetime·ConditionName·ListPreAlerts의 공식 IRI 5건에 자체 IRI 형식을 요구한 오판이다. 공식 식별자를 바꾸면 IDTA 원본과의 의미 연결이 달라지므로 유지한다. CD 매핑 검사 Passed와는 별개의 형식 검사 결과이다.</t>
        </is>
      </c>
      <c r="K19" s="21"/>
    </row>
    <row r="20" spans="1:11" ht="36" customHeight="1">
      <c r="A20" s="48"/>
      <c r="B20" s="4">
        <v>18</v>
      </c>
      <c r="C20" s="9" t="s">
        <v>31</v>
      </c>
      <c r="D20" s="4" t="s">
        <v>68</v>
      </c>
      <c r="E20" s="5" t="s">
        <v>69</v>
      </c>
      <c r="F20" s="15" t="b">
        <v>1</v>
      </c>
      <c r="G20" s="5" t="s">
        <v>116</v>
      </c>
      <c r="K20" s="21"/>
    </row>
    <row r="21" spans="1:11" ht="36" customHeight="1">
      <c r="A21" s="49"/>
      <c r="B21" s="4">
        <v>19</v>
      </c>
      <c r="C21" s="9" t="s">
        <v>31</v>
      </c>
      <c r="D21" s="4" t="s">
        <v>70</v>
      </c>
      <c r="E21" s="5" t="s">
        <v>71</v>
      </c>
      <c r="F21" s="15" t="b">
        <v>1</v>
      </c>
      <c r="G21" s="5" t="s">
        <v>117</v>
      </c>
      <c r="K21" s="21"/>
    </row>
    <row r="22" spans="1:11" ht="51.95" customHeight="1">
      <c r="A22" s="3" t="s">
        <v>4</v>
      </c>
      <c r="B22" s="53" t="s">
        <v>72</v>
      </c>
      <c r="C22" s="54"/>
      <c r="D22" s="54"/>
      <c r="E22" s="54"/>
      <c r="F22" s="54"/>
      <c r="G22" s="55"/>
      <c r="K22" s="21"/>
    </row>
    <row r="23" spans="1:11">
      <c r="A23" s="3" t="s">
        <v>73</v>
      </c>
      <c r="B23" s="8">
        <v>19</v>
      </c>
      <c r="C23" s="50"/>
      <c r="D23" s="51"/>
      <c r="E23" s="51"/>
      <c r="F23" s="51"/>
      <c r="G23" s="52"/>
      <c r="K23" s="21"/>
    </row>
    <row r="24" spans="1:11">
      <c r="B24" s="77" t="inlineStr">
        <is>
          <t xml:space="preserve">검토 기준: BandSawMachine_AAS_v0.0.1.aasx / 2026-09-29 재검토 / SHA-256 및 Validator 판정: Additional Considerations 참조.</t>
        </is>
      </c>
      <c r="K24" s="21"/>
    </row>
    <row r="25" spans="1:11">
      <c r="K25" s="21"/>
    </row>
    <row r="26" spans="1:11">
      <c r="K26" s="22"/>
    </row>
    <row r="29" spans="1:11">
      <c r="H29" s="12"/>
    </row>
  </sheetData>
  <mergeCells count="9">
    <mergeCell ref="C23:G23"/>
    <mergeCell ref="A1:G1"/>
    <mergeCell ref="A10:A14"/>
    <mergeCell ref="B22:G22"/>
    <mergeCell ref="A4:A5"/>
    <mergeCell ref="A6:A9"/>
    <mergeCell ref="A19:A21"/>
    <mergeCell ref="A15:A16"/>
    <mergeCell ref="A17:A18"/>
  </mergeCells>
  <phoneticPr fontId="3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3"/>
  <sheetViews>
    <sheetView workbookViewId="0">
      <selection sqref="A1:I1"/>
    </sheetView>
  </sheetViews>
  <sheetFormatPr defaultColWidth="8.875" defaultRowHeight="16.5"/>
  <cols>
    <col min="1" max="4" width="9" style="11"/>
    <col min="5" max="6" width="15" style="11" customWidth="1"/>
    <col min="7" max="7" width="17" style="11" customWidth="1"/>
    <col min="8" max="8" width="21.375" style="11" customWidth="1"/>
    <col min="9" max="9" width="28.5" customWidth="1"/>
  </cols>
  <sheetData>
    <row r="1" spans="1:10" ht="20.25">
      <c r="A1" s="59" t="s">
        <v>74</v>
      </c>
      <c r="B1" s="60"/>
      <c r="C1" s="60"/>
      <c r="D1" s="60"/>
      <c r="E1" s="60"/>
      <c r="F1" s="60"/>
      <c r="G1" s="60"/>
      <c r="H1" s="60"/>
      <c r="I1" s="60"/>
      <c r="J1" s="16"/>
    </row>
    <row r="2" spans="1:10">
      <c r="A2" s="61" t="s">
        <v>75</v>
      </c>
      <c r="B2" s="61"/>
      <c r="C2" s="61"/>
      <c r="D2" s="61"/>
      <c r="E2" s="1" t="s">
        <v>76</v>
      </c>
      <c r="F2" s="2" t="s">
        <v>77</v>
      </c>
      <c r="G2" s="1" t="s">
        <v>78</v>
      </c>
      <c r="H2" s="1" t="s">
        <v>79</v>
      </c>
      <c r="I2" s="1" t="s">
        <v>4</v>
      </c>
    </row>
    <row r="3" spans="1:10">
      <c r="A3" s="44" t="s">
        <v>80</v>
      </c>
      <c r="B3" s="44"/>
      <c r="C3" s="44"/>
      <c r="D3" s="44"/>
      <c r="E3" s="63" t="s">
        <v>81</v>
      </c>
      <c r="F3" s="64"/>
      <c r="G3" s="10">
        <f>SUM(IF('AAS Model Checklist'!F3,1,0),IF('AAS Model Checklist'!F4,1,0),IF('AAS Model Checklist'!F5,1,0),IF('AAS Model Checklist'!F6,1,0),IF('AAS Model Checklist'!F7,1,0),IF('AAS Model Checklist'!F8,1,0),IF('AAS Model Checklist'!F9,1,0),IF('AAS Model Checklist'!F10,1,0),IF('AAS Model Checklist'!F11,1,0),IF('AAS Model Checklist'!F12,1,0),IF('AAS Model Checklist'!F13,1,0),IF('AAS Model Checklist'!F14,1,0),IF('AAS Model Checklist'!F15,1,0),IF('AAS Model Checklist'!F16,1,0),IF('AAS Model Checklist'!F17,1,0),IF('AAS Model Checklist'!F18,1,0),IF('AAS Model Checklist'!F19,1,0),IF('AAS Model Checklist'!F20,1,0),IF('AAS Model Checklist'!F21,1,0))</f>
        <v>19</v>
      </c>
      <c r="H3" s="10">
        <f>ROUND(G3/G5, 3) * 100</f>
        <v>100</v>
      </c>
      <c r="I3" s="29" t="inlineStr">
        <is>
          <t>정량 기준 판정(Validator와 별도)</t>
        </is>
      </c>
    </row>
    <row r="4" spans="1:10">
      <c r="A4" s="44"/>
      <c r="B4" s="44"/>
      <c r="C4" s="44"/>
      <c r="D4" s="44"/>
      <c r="E4" s="63" t="s">
        <v>82</v>
      </c>
      <c r="F4" s="64"/>
      <c r="G4" s="33">
        <f>'AAS Model Checklist'!B23 - G3</f>
        <v>0</v>
      </c>
      <c r="H4" s="10">
        <f>ROUND(G4/G5, 3) * 100</f>
        <v>0</v>
      </c>
      <c r="I4" s="29" t="s">
        <v>120</v>
      </c>
    </row>
    <row r="5" spans="1:10">
      <c r="A5" s="44"/>
      <c r="B5" s="44"/>
      <c r="C5" s="44"/>
      <c r="D5" s="44"/>
      <c r="E5" s="13" t="s">
        <v>73</v>
      </c>
      <c r="F5" s="13" t="s">
        <v>83</v>
      </c>
      <c r="G5" s="13">
        <f>SUM(G3:G4)</f>
        <v>19</v>
      </c>
      <c r="H5" s="13">
        <f>SUM(H3:H4)</f>
        <v>100</v>
      </c>
      <c r="I5" s="30" t="s">
        <v>84</v>
      </c>
    </row>
    <row r="6" spans="1:10">
      <c r="A6" s="44" t="s">
        <v>85</v>
      </c>
      <c r="B6" s="44"/>
      <c r="C6" s="44"/>
      <c r="D6" s="44"/>
      <c r="E6" s="62" t="s">
        <v>31</v>
      </c>
      <c r="F6" s="10" t="s">
        <v>86</v>
      </c>
      <c r="G6" s="10">
        <f>SUM(IF(AND('AAS Model Checklist'!C3="필수",'AAS Model Checklist'!F3=TRUE),1,0),IF(AND('AAS Model Checklist'!C4="필수",'AAS Model Checklist'!F4=TRUE),1,0),IF(AND('AAS Model Checklist'!C5="필수",'AAS Model Checklist'!F5=TRUE),1,0),IF(AND('AAS Model Checklist'!C6="필수",'AAS Model Checklist'!F6=TRUE),1,0),IF(AND('AAS Model Checklist'!C7="필수",'AAS Model Checklist'!F7=TRUE),1,0),IF(AND('AAS Model Checklist'!C8="필수",'AAS Model Checklist'!F8=TRUE),1,0),IF(AND('AAS Model Checklist'!C9="필수",'AAS Model Checklist'!F9=TRUE),1,0),IF(AND('AAS Model Checklist'!C10="필수",'AAS Model Checklist'!F10=TRUE),1,0),IF(AND('AAS Model Checklist'!C11="필수",'AAS Model Checklist'!F11=TRUE),1,0),IF(AND('AAS Model Checklist'!C12="필수",'AAS Model Checklist'!F12=TRUE),1,0),IF(AND('AAS Model Checklist'!C13="필수",'AAS Model Checklist'!F13=TRUE),1,0),IF(AND('AAS Model Checklist'!C14="필수",'AAS Model Checklist'!F14=TRUE),1,0),IF(AND('AAS Model Checklist'!C15="필수",'AAS Model Checklist'!F15=TRUE),1,0),IF(AND('AAS Model Checklist'!C16="필수",'AAS Model Checklist'!F16=TRUE),1,0),IF(AND('AAS Model Checklist'!C17="필수",'AAS Model Checklist'!F17=TRUE),1,0),IF(AND('AAS Model Checklist'!C18="필수",'AAS Model Checklist'!F18=TRUE),1,0),IF(AND('AAS Model Checklist'!C19="필수",'AAS Model Checklist'!F19=TRUE),1,0),IF(AND('AAS Model Checklist'!C20="필수",'AAS Model Checklist'!F20=TRUE),1,0),IF(AND('AAS Model Checklist'!C21="필수",'AAS Model Checklist'!F21=TRUE),1,0))</f>
        <v>16</v>
      </c>
      <c r="H6" s="10">
        <f>ROUND(G6/G10, 3) * 100</f>
        <v>84.2</v>
      </c>
      <c r="I6" s="29" t="s">
        <v>87</v>
      </c>
    </row>
    <row r="7" spans="1:10">
      <c r="A7" s="44"/>
      <c r="B7" s="44"/>
      <c r="C7" s="44"/>
      <c r="D7" s="44"/>
      <c r="E7" s="62"/>
      <c r="F7" s="10" t="s">
        <v>88</v>
      </c>
      <c r="G7" s="10">
        <f>SUM(IF(AND('AAS Model Checklist'!C3="필수",'AAS Model Checklist'!F3=FALSE),1,0),IF(AND('AAS Model Checklist'!C4="필수",'AAS Model Checklist'!F4=FALSE),1,0),IF(AND('AAS Model Checklist'!C5="필수",'AAS Model Checklist'!F5=FALSE),1,0),IF(AND('AAS Model Checklist'!C6="필수",'AAS Model Checklist'!F6=FALSE),1,0),IF(AND('AAS Model Checklist'!C7="필수",'AAS Model Checklist'!F7=FALSE),1,0),IF(AND('AAS Model Checklist'!C8="필수",'AAS Model Checklist'!F8=FALSE),1,0),IF(AND('AAS Model Checklist'!C9="필수",'AAS Model Checklist'!F9=FALSE),1,0),IF(AND('AAS Model Checklist'!C10="필수",'AAS Model Checklist'!F10=FALSE),1,0),IF(AND('AAS Model Checklist'!C11="필수",'AAS Model Checklist'!F11=FALSE),1,0),IF(AND('AAS Model Checklist'!C12="필수",'AAS Model Checklist'!F12=FALSE),1,0),IF(AND('AAS Model Checklist'!C13="필수",'AAS Model Checklist'!F13=FALSE),1,0),IF(AND('AAS Model Checklist'!C14="필수",'AAS Model Checklist'!F14=FALSE),1,0),IF(AND('AAS Model Checklist'!C15="필수",'AAS Model Checklist'!F15=FALSE),1,0),IF(AND('AAS Model Checklist'!C16="필수",'AAS Model Checklist'!F16=FALSE),1,0),IF(AND('AAS Model Checklist'!C17="필수",'AAS Model Checklist'!F17=FALSE),1,0),IF(AND('AAS Model Checklist'!C18="필수",'AAS Model Checklist'!F18=FALSE),1,0),IF(AND('AAS Model Checklist'!C19="필수",'AAS Model Checklist'!F19=FALSE),1,0),IF(AND('AAS Model Checklist'!C20="필수",'AAS Model Checklist'!F20=FALSE),1,0),IF(AND('AAS Model Checklist'!C21="필수",'AAS Model Checklist'!F21=FALSE),1,0))</f>
        <v>0</v>
      </c>
      <c r="H7" s="10">
        <f>ROUND(G7/G10, 3) * 100</f>
        <v>0</v>
      </c>
      <c r="I7" s="29" t="s">
        <v>89</v>
      </c>
    </row>
    <row r="8" spans="1:10">
      <c r="A8" s="44"/>
      <c r="B8" s="44"/>
      <c r="C8" s="44"/>
      <c r="D8" s="44"/>
      <c r="E8" s="62" t="s">
        <v>42</v>
      </c>
      <c r="F8" s="10" t="s">
        <v>90</v>
      </c>
      <c r="G8" s="10">
        <f>SUM(IF(AND('AAS Model Checklist'!C3="옵션",'AAS Model Checklist'!F3=TRUE),1,0),IF(AND('AAS Model Checklist'!C4="옵션",'AAS Model Checklist'!F4=TRUE),1,0),IF(AND('AAS Model Checklist'!C5="옵션",'AAS Model Checklist'!F5=TRUE),1,0),IF(AND('AAS Model Checklist'!C6="옵션",'AAS Model Checklist'!F6=TRUE),1,0),IF(AND('AAS Model Checklist'!C7="옵션",'AAS Model Checklist'!F7=TRUE),1,0),IF(AND('AAS Model Checklist'!C8="옵션",'AAS Model Checklist'!F8=TRUE),1,0),IF(AND('AAS Model Checklist'!C9="옵션",'AAS Model Checklist'!F9=TRUE),1,0),IF(AND('AAS Model Checklist'!C10="옵션",'AAS Model Checklist'!F10=TRUE),1,0),IF(AND('AAS Model Checklist'!C11="옵션",'AAS Model Checklist'!F11=TRUE),1,0),IF(AND('AAS Model Checklist'!C12="옵션",'AAS Model Checklist'!F12=TRUE),1,0),IF(AND('AAS Model Checklist'!C13="옵션",'AAS Model Checklist'!F13=TRUE),1,0),IF(AND('AAS Model Checklist'!C14="옵션",'AAS Model Checklist'!F14=TRUE),1,0),IF(AND('AAS Model Checklist'!C15="옵션",'AAS Model Checklist'!F15=TRUE),1,0),IF(AND('AAS Model Checklist'!C16="옵션",'AAS Model Checklist'!F16=TRUE),1,0),IF(AND('AAS Model Checklist'!C17="옵션",'AAS Model Checklist'!F17=TRUE),1,0),IF(AND('AAS Model Checklist'!C18="옵션",'AAS Model Checklist'!F18=TRUE),1,0),IF(AND('AAS Model Checklist'!C19="옵션",'AAS Model Checklist'!F19=TRUE),1,0),IF(AND('AAS Model Checklist'!C20="옵션",'AAS Model Checklist'!F20=TRUE),1,0),IF(AND('AAS Model Checklist'!C21="옵션",'AAS Model Checklist'!F21=TRUE),1,0))</f>
        <v>3</v>
      </c>
      <c r="H8" s="10">
        <f>ROUND(G8/G10, 3) * 100</f>
        <v>15.8</v>
      </c>
      <c r="I8" s="29" t="s">
        <v>91</v>
      </c>
    </row>
    <row r="9" spans="1:10">
      <c r="A9" s="44"/>
      <c r="B9" s="44"/>
      <c r="C9" s="44"/>
      <c r="D9" s="44"/>
      <c r="E9" s="62"/>
      <c r="F9" s="10" t="s">
        <v>92</v>
      </c>
      <c r="G9" s="10">
        <f>SUM(IF(AND('AAS Model Checklist'!C3="옵션",'AAS Model Checklist'!F3=FALSE),1,0),IF(AND('AAS Model Checklist'!C4="옵션",'AAS Model Checklist'!F4=FALSE),1,0),IF(AND('AAS Model Checklist'!C5="옵션",'AAS Model Checklist'!F5=FALSE),1,0),IF(AND('AAS Model Checklist'!C6="옵션",'AAS Model Checklist'!F6=FALSE),1,0),IF(AND('AAS Model Checklist'!C7="옵션",'AAS Model Checklist'!F7=FALSE),1,0),IF(AND('AAS Model Checklist'!C8="옵션",'AAS Model Checklist'!F8=FALSE),1,0),IF(AND('AAS Model Checklist'!C9="옵션",'AAS Model Checklist'!F9=FALSE),1,0),IF(AND('AAS Model Checklist'!C10="옵션",'AAS Model Checklist'!F10=FALSE),1,0),IF(AND('AAS Model Checklist'!C11="옵션",'AAS Model Checklist'!F11=FALSE),1,0),IF(AND('AAS Model Checklist'!C12="옵션",'AAS Model Checklist'!F12=FALSE),1,0),IF(AND('AAS Model Checklist'!C13="옵션",'AAS Model Checklist'!F13=FALSE),1,0),IF(AND('AAS Model Checklist'!C14="옵션",'AAS Model Checklist'!F14=FALSE),1,0),IF(AND('AAS Model Checklist'!C15="옵션",'AAS Model Checklist'!F15=FALSE),1,0),IF(AND('AAS Model Checklist'!C16="옵션",'AAS Model Checklist'!F16=FALSE),1,0),IF(AND('AAS Model Checklist'!C17="옵션",'AAS Model Checklist'!F17=FALSE),1,0),IF(AND('AAS Model Checklist'!C18="옵션",'AAS Model Checklist'!F18=FALSE),1,0),IF(AND('AAS Model Checklist'!C19="옵션",'AAS Model Checklist'!F19=FALSE),1,0),IF(AND('AAS Model Checklist'!C20="옵션",'AAS Model Checklist'!F20=FALSE),1,0),IF(AND('AAS Model Checklist'!C21="옵션",'AAS Model Checklist'!F21=FALSE),1,0))</f>
        <v>0</v>
      </c>
      <c r="H9" s="10">
        <f>ROUND(G9/G10, 3) * 100</f>
        <v>0</v>
      </c>
      <c r="I9" s="29" t="s">
        <v>93</v>
      </c>
    </row>
    <row r="10" spans="1:10">
      <c r="A10" s="44"/>
      <c r="B10" s="44"/>
      <c r="C10" s="44"/>
      <c r="D10" s="44"/>
      <c r="E10" s="13" t="s">
        <v>73</v>
      </c>
      <c r="F10" s="14" t="s">
        <v>83</v>
      </c>
      <c r="G10" s="13">
        <f>SUM(G6:G9)</f>
        <v>19</v>
      </c>
      <c r="H10" s="13">
        <f>SUM(H6:H9)</f>
        <v>100</v>
      </c>
      <c r="I10" s="30" t="s">
        <v>84</v>
      </c>
    </row>
    <row r="12" spans="1:10">
      <c r="A12" s="58" t="s">
        <v>94</v>
      </c>
      <c r="B12" s="58"/>
      <c r="C12" s="58"/>
      <c r="D12" s="58"/>
      <c r="E12" s="58"/>
      <c r="F12" s="58"/>
      <c r="G12" s="58"/>
      <c r="H12" s="58"/>
      <c r="I12" s="58"/>
    </row>
    <row r="13" spans="1:10">
      <c r="B13" s="28"/>
    </row>
  </sheetData>
  <mergeCells count="9">
    <mergeCell ref="A12:I12"/>
    <mergeCell ref="A1:I1"/>
    <mergeCell ref="A2:D2"/>
    <mergeCell ref="E6:E7"/>
    <mergeCell ref="E8:E9"/>
    <mergeCell ref="A3:D5"/>
    <mergeCell ref="A6:D10"/>
    <mergeCell ref="E3:F3"/>
    <mergeCell ref="E4:F4"/>
  </mergeCells>
  <phoneticPr fontId="3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6"/>
  <sheetViews>
    <sheetView tabSelected="1" workbookViewId="0">
      <selection activeCell="B2" sqref="B2:B3"/>
    </sheetView>
  </sheetViews>
  <sheetFormatPr defaultColWidth="8.875" defaultRowHeight="16.5"/>
  <cols>
    <col min="1" max="1" width="17.5" customWidth="1"/>
    <col min="2" max="2" width="14.375" customWidth="1"/>
    <col min="3" max="3" width="13" customWidth="1"/>
    <col min="4" max="4" width="25.5" customWidth="1"/>
    <col min="5" max="5" width="11.5" customWidth="1"/>
    <col min="6" max="6" width="24.375" customWidth="1"/>
  </cols>
  <sheetData>
    <row r="1" spans="1:6" ht="32.25" customHeight="1">
      <c r="A1" s="70" t="s">
        <v>95</v>
      </c>
      <c r="B1" s="71"/>
      <c r="C1" s="71"/>
      <c r="D1" s="71"/>
      <c r="E1" s="71"/>
      <c r="F1" s="71"/>
    </row>
    <row r="2" spans="1:6">
      <c r="A2" s="72" t="s">
        <v>96</v>
      </c>
      <c r="B2" s="66"/>
      <c r="C2" s="72" t="s">
        <v>97</v>
      </c>
      <c r="D2" s="73"/>
      <c r="E2" s="75" t="s">
        <v>98</v>
      </c>
      <c r="F2" s="73" t="inlineStr">
        <is>
          <t xml:space="preserve">2026-09-29</t>
        </is>
      </c>
    </row>
    <row r="3" spans="1:6">
      <c r="A3" s="72"/>
      <c r="B3" s="66"/>
      <c r="C3" s="72"/>
      <c r="D3" s="74"/>
      <c r="E3" s="76"/>
      <c r="F3" s="74"/>
    </row>
    <row r="4" spans="1:6" ht="180" customHeight="1">
      <c r="A4" s="39" t="inlineStr">
        <is>
          <t>4. 검토사항</t>
        </is>
      </c>
      <c r="B4" s="67" t="inlineStr">
        <is>
          <t xml:space="preserve">검토 기준: BandSawMachine_AAS_v0.0.1.aasx
SHA-256: 8a8f4fa8671c407e8aacafe76480bbfbd1594ee74071c403ecb0dd7578a0fc46
제공된 BandSawMachine_20260927145127_test_result.html: 69 Passed·1 Failed(KOSMO-CD #2, 공식 IRI 5건 형식 오판). 검사일 2026-09-27, 문서 재검토일 2026-09-29. Validator 재실행 없음.
수동 대조: ProcessBoM 소재/ResourceParameters 자원 구분, TimeSeries 버전 및 Description 4곳 확인. 117·122 반영 후 관련 정량 판정 유지. 정량 19/19는 자동검사 전체 통과가 아님.</t>
        </is>
      </c>
      <c r="C4" s="66"/>
      <c r="D4" s="66"/>
      <c r="E4" s="66"/>
      <c r="F4" s="66"/>
    </row>
    <row r="5" spans="1:6" ht="31.5" customHeight="1">
      <c r="A5" s="26" t="s">
        <v>122</v>
      </c>
      <c r="B5" s="66"/>
      <c r="C5" s="66"/>
      <c r="D5" s="66"/>
      <c r="E5" s="66"/>
      <c r="F5" s="66"/>
    </row>
    <row r="6" spans="1:6" ht="270" customHeight="1">
      <c r="A6" s="26" t="s">
        <v>4</v>
      </c>
      <c r="B6" s="68" t="inlineStr">
        <is>
          <t>CD #2 오판 원인: 공식 admin-shell.io 식별자에도 https://www.smart-factory.kr/ids/cd/{idShort}/{version}/{revision} 형식을 일괄 요구함. 대상: TimeSeries/UtcTime/1/1, zvei/nameplate/1/0/ContactInformations/AddressInformation, PredictiveMaintenance/{RemainingUsefulLifetime,ConditionName,ListPreAlerts}/1/0. 공식 의미 식별자를 자체 IRI로 바꾸면 원본과의 연결이 달라지므로 유지. 근거: IDTA Published Digital Nameplate 3.0.1·Predictive Maintenance 1.0의 SME semanticId, Time Series Data 1.1 명세의 UtcTime. CD #3은 오판 아님: AddressInformation·Markings·AssetSpecificProperties·GuidelineSpecificProperties·GuidelineSpecificPropertySet·RemainingUsefulLifetime·ConditionName·ListPreAlerts의 빈 CD에 영문/국문 description 보완. 같은 이름이라도 ID가 다른 기존 CD의 설명은 해당 CD 설명을 대신하지 못함. 모델 구조·값·IRI·dataType 유지. 정량 19/19는 Validator 전체 통과를 의미하지 않음.</t>
        </is>
      </c>
      <c r="C6" s="69"/>
      <c r="D6" s="69"/>
      <c r="E6" s="69"/>
      <c r="F6" s="69"/>
    </row>
    <row r="16" spans="1:6">
      <c r="A16" s="65"/>
      <c r="B16" s="65"/>
      <c r="C16" s="65"/>
      <c r="D16" s="65"/>
      <c r="E16" s="65"/>
      <c r="F16" s="65"/>
    </row>
  </sheetData>
  <mergeCells count="11">
    <mergeCell ref="A16:F16"/>
    <mergeCell ref="B5:F5"/>
    <mergeCell ref="B4:F4"/>
    <mergeCell ref="B6:F6"/>
    <mergeCell ref="A1:F1"/>
    <mergeCell ref="A2:A3"/>
    <mergeCell ref="B2:B3"/>
    <mergeCell ref="C2:C3"/>
    <mergeCell ref="D2:D3"/>
    <mergeCell ref="E2:E3"/>
    <mergeCell ref="F2:F3"/>
  </mergeCells>
  <phoneticPr fontId="3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AAS Model Checklist Information</vt:lpstr>
      <vt:lpstr>AAS Model Checklist</vt:lpstr>
      <vt:lpstr>AAS Model Checklist Result</vt:lpstr>
      <vt:lpstr>Additional Considerations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김현진</cp:lastModifiedBy>
  <dcterms:modified xsi:type="dcterms:W3CDTF">2026-09-14T12:19:28Z</dcterms:modified>
</cp:coreProperties>
</file>