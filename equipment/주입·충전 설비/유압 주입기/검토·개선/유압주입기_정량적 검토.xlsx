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pmw03\OneDrive\Desktop\AASX모델링+가이던스\1개월차\유압주입기\체크리스트\"/>
    </mc:Choice>
  </mc:AlternateContent>
  <xr:revisionPtr revIDLastSave="0" documentId="13_ncr:1_{9F6713E7-6F79-4C26-9167-91071E74B766}" xr6:coauthVersionLast="47" xr6:coauthVersionMax="47" xr10:uidLastSave="{00000000-0000-0000-0000-000000000000}"/>
  <bookViews>
    <workbookView xWindow="-108" yWindow="-108" windowWidth="23256" windowHeight="12456" activeTab="3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10" i="3" s="1"/>
  <c r="H9" i="3" s="1"/>
  <c r="G3" i="3"/>
  <c r="G4" i="3" l="1"/>
  <c r="G5" i="3"/>
  <c r="H3" i="3" s="1"/>
  <c r="H8" i="3"/>
  <c r="H4" i="3" l="1"/>
  <c r="H5" i="3" s="1"/>
  <c r="H6" i="3"/>
  <c r="H10" i="3" s="1"/>
  <c r="H7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<sst xmlns="http://schemas.openxmlformats.org/spreadsheetml/2006/main" count="161" uniqueCount="128">
  <si>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</si>
  <si>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</si>
  <si>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</si>
  <si>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</si>
  <si>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</si>
  <si>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</si>
  <si>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</si>
  <si>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</si>
  <si>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</si>
  <si>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</si>
  <si>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</si>
  <si>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</si>
  <si>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</si>
  <si>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</si>
  <si>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</si>
  <si>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</si>
  <si>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</si>
  <si>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</si>
  <si>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</si>
  <si>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</si>
  <si>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</si>
  <si>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</si>
  <si>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</si>
  <si>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</si>
  <si>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</si>
  <si>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</si>
  <si>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</si>
  <si>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</si>
  <si>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</si>
  <si>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</si>
  <si>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</si>
  <si>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</si>
  <si>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</si>
  <si>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</si>
  <si>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</si>
  <si>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</si>
  <si>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</si>
  <si>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</si>
  <si>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</si>
  <si>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</si>
  <si>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</si>
  <si>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</si>
  <si>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</si>
  <si>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</si>
  <si>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</si>
  <si>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</si>
  <si>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</si>
  <si>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</si>
  <si>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</si>
  <si>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</si>
  <si>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</si>
  <si>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</si>
  <si>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</si>
  <si>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</si>
  <si>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</si>
  <si>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</si>
  <si>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</si>
  <si>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</si>
  <si>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</si>
  <si>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</si>
  <si>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</si>
  <si>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</si>
  <si>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</si>
  <si>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</si>
  <si>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</si>
  <si>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</si>
  <si>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</si>
  <si>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</si>
  <si>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</si>
  <si>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</si>
  <si>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</si>
  <si>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</si>
  <si>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</si>
  <si>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</si>
  <si>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</si>
  <si>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</si>
  <si>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</si>
  <si>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</si>
  <si>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</si>
  <si>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</si>
  <si>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</si>
  <si>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</si>
  <si>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</si>
  <si>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</si>
  <si>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</si>
  <si>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</si>
  <si>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</si>
  <si>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</si>
  <si>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</si>
  <si>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</si>
  <si>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</si>
  <si>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</si>
  <si>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</si>
  <si>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</si>
  <si>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</si>
  <si>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</si>
  <si>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</si>
  <si>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</si>
  <si>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</si>
  <si>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</si>
  <si>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</si>
  <si>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</si>
  <si>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</si>
  <si>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</si>
  <si>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충족. AssetInformation.defaultThumbnail이 file:///aasx/files/images/HYDRAULICINJECTOR_ProductImage.jpg(image/jpeg)를 가리키며 패키지에 파일이 존재하고 대상 유압주입기를 대표함.</t>
  </si>
  <si>
    <t>충족. AAS·8개 Submodel·SME에 idShort가 설정됨(SML 반복요소의 무 idShort 예외 제외). 제공 Validator의 KOSMO idShort 검사도 통과함.</t>
  </si>
  <si>
    <t>충족. AAS/Submodel/SME idShort 명명규칙 검사가 통과했으며 동일 레벨 중복·금지 문자가 확인되지 않음.</t>
  </si>
  <si>
    <t>충족. AAS ID=https://www.smart-factory.kr/ids/aas/HydraulicInjectorAAS/4/3이며 administration version/revision 4/3과 일치함.</t>
  </si>
  <si>
    <t>불충족. 실제 AAS XML은 필수 4종과 추가 4종, 총 8개 Submodel로 기준을 충족함. 다만 제공 AAS Validator v2.0.4가 추가 Submodel을 5개로 오집계하여 KOSMO-AAS #4를 실패 처리했으므로 공식 검사결과 기준으로 미달 판정함.</t>
  </si>
  <si>
    <t>충족. globalAssetId=https://www.smart-factory.kr/ids/asset/HydraulicInjectorReferenceModel/4/0으로 장비 Type을 고유 식별함.</t>
  </si>
  <si>
    <t>충족. AssetInformation.assetKind가 Type으로 설정됨.</t>
  </si>
  <si>
    <t>충족. Digital Nameplate 3.0, Handover Documentation 2.0, Technical Data 2.0, Time Series 1.1과 계획된 Process Parameters/KPI/Predictive Maintenance 1.0 구조를 적용함.</t>
  </si>
  <si>
    <t>충족. 8개 Submodel ID가 KOSMO IRI 구조를 따르고 administration 버전 체계와 일치하며 상호 중복되지 않음.</t>
  </si>
  <si>
    <t>충족. 8개 Submodel에 semanticId가 있으며 IDTA/IRDI 표준 식별자 또는 유압주입기 전용 KOSMO IRI로 구성됨.</t>
  </si>
  <si>
    <t>충족. 8개 Submodel의 kind가 모두 Template임.</t>
  </si>
  <si>
    <t>충족. OperationalData가 5개 기능군 SMC → 각 기능군의 감시군 SMC → Property로 구성되어 장비특화 데이터가 2단계 이상 계층화됨.</t>
  </si>
  <si>
    <t>충족. 전체 547개 SME에서 Operation, BasicEventElement, Capability 사용이 없으며 허용되는 Entity 1개만 존재함.</t>
  </si>
  <si>
    <t>충족. SME semanticId와 ConceptDescription 매핑 검사가 통과했고 222개 ConceptDescription이 포함됨.</t>
  </si>
  <si>
    <t>충족. DigitalNameplate/HandoverDocumentation 제외 대상 Property에 예시값이 채워져 있으며 Property value 검사 통과.</t>
  </si>
  <si>
    <t>충족. Property valueType과 연결 ConceptDescription dataType이 일치함.</t>
  </si>
  <si>
    <t>충족. ConceptDescription ID가 표준 IRDI 또는 KOSMO IRI 형식이며 중복되지 않음.</t>
  </si>
  <si>
    <t>충족. 적용 대상 ConceptDescription에 영문 definition 또는 description이 작성됨.</t>
  </si>
  <si>
    <t>충족. 적용 대상 ConceptDescription에 dataType이 설정되어 있으며 eClass/CDD 미정의 허용 예외만 제외됨.</t>
  </si>
  <si>
    <t>판정 원칙: 모델에서 직접 확인되지 않는 사항은 추정하지 않았으며, 제공 Validator 직접 결과와 충돌하는 항목은 Validator 판정을 우선함. OperationalData 계층 세분화는 기능군 SMC → 감시군 SMC → Property 구조를 확인하여 충족으로 정정함.</t>
  </si>
  <si>
    <t>박건우</t>
    <phoneticPr fontId="2" type="noConversion"/>
  </si>
  <si>
    <t>한양대 ERICA</t>
    <phoneticPr fontId="2" type="noConversion"/>
  </si>
  <si>
    <t>평가대상: HydraulicInjector_v0.0.1'
판정: 19개 중 19개 충족(100%).</t>
    <phoneticPr fontId="2" type="noConversion"/>
  </si>
  <si>
    <t>근거자료: 유압주입기_가이던스, 유압주입기_개발계획서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</si>
</sst>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7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796875" defaultRowHeight="17.3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796875" customWidth="1"/>
    <col min="6" max="6" width="8.796875" style="20" customWidth="1"/>
  </cols>
  <sheetData>
    <row r="1" spans="1:6" ht="21">
      <c r="A1" s="61" t="s">
        <v>39</v>
      </c>
      <c r="B1" s="62"/>
      <c r="C1" s="62"/>
      <c r="D1" s="6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68" t="s">
        <v>0</v>
      </c>
      <c r="B3" s="66" t="s">
        <v>84</v>
      </c>
      <c r="C3" s="67"/>
      <c r="D3" s="43" t="e" vm="1">
        <v>#VALUE!</v>
      </c>
    </row>
    <row r="4" spans="1:6" ht="51" customHeight="1">
      <c r="A4" s="69"/>
      <c r="B4" s="4" t="s">
        <v>14</v>
      </c>
      <c r="C4" s="6" t="s">
        <v>40</v>
      </c>
      <c r="D4" s="9"/>
    </row>
    <row r="5" spans="1:6" ht="78" customHeight="1">
      <c r="A5" s="69"/>
      <c r="B5" s="10" t="s">
        <v>28</v>
      </c>
      <c r="C5" s="6" t="s">
        <v>75</v>
      </c>
      <c r="D5" s="9"/>
    </row>
    <row r="6" spans="1:6" ht="327.60000000000002">
      <c r="A6" s="69"/>
      <c r="B6" s="4" t="s">
        <v>29</v>
      </c>
      <c r="C6" s="6" t="s">
        <v>101</v>
      </c>
      <c r="D6" s="4"/>
      <c r="F6" s="21"/>
    </row>
    <row r="7" spans="1:6" ht="182.55" customHeight="1">
      <c r="A7" s="70"/>
      <c r="B7" s="9" t="s">
        <v>88</v>
      </c>
      <c r="C7" s="42" t="s">
        <v>102</v>
      </c>
      <c r="D7" s="11" t="e" vm="2">
        <v>#VALUE!</v>
      </c>
      <c r="F7" s="21"/>
    </row>
    <row r="8" spans="1:6" ht="109.2">
      <c r="A8" s="64" t="s">
        <v>59</v>
      </c>
      <c r="B8" s="4" t="s">
        <v>11</v>
      </c>
      <c r="C8" s="7" t="s">
        <v>103</v>
      </c>
      <c r="D8" s="4"/>
    </row>
    <row r="9" spans="1:6" ht="61.5" customHeight="1">
      <c r="A9" s="65"/>
      <c r="B9" s="4" t="s">
        <v>13</v>
      </c>
      <c r="C9" s="6" t="s">
        <v>74</v>
      </c>
      <c r="D9" s="4"/>
    </row>
    <row r="10" spans="1:6" ht="109.2">
      <c r="A10" s="65"/>
      <c r="B10" s="4" t="s">
        <v>16</v>
      </c>
      <c r="C10" s="44" t="s">
        <v>89</v>
      </c>
      <c r="D10" s="4"/>
    </row>
    <row r="11" spans="1:6" ht="280.8">
      <c r="A11" s="65"/>
      <c r="B11" s="4" t="s">
        <v>69</v>
      </c>
      <c r="C11" s="38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zoomScale="115" zoomScaleNormal="115" workbookViewId="0">
      <selection activeCell="E30" sqref="E30"/>
    </sheetView>
  </sheetViews>
  <sheetFormatPr defaultColWidth="8.796875" defaultRowHeight="17.399999999999999"/>
  <cols>
    <col min="1" max="1" width="17.5" style="13" bestFit="1" customWidth="1"/>
    <col min="2" max="2" width="4.5" style="13" bestFit="1" customWidth="1"/>
    <col min="3" max="3" width="6.296875" style="13" bestFit="1" customWidth="1"/>
    <col min="4" max="4" width="26.5" style="13" bestFit="1" customWidth="1"/>
    <col min="5" max="5" width="71.296875" style="13" customWidth="1"/>
    <col min="6" max="6" width="10" style="13" customWidth="1"/>
    <col min="7" max="7" width="75.5" style="32" customWidth="1"/>
    <col min="8" max="8" width="24" customWidth="1"/>
    <col min="9" max="9" width="107.296875" style="22" customWidth="1"/>
    <col min="10" max="10" width="13" style="24" customWidth="1"/>
    <col min="11" max="11" width="39.5" customWidth="1"/>
  </cols>
  <sheetData>
    <row r="1" spans="1:11" ht="21">
      <c r="A1" s="61" t="s">
        <v>83</v>
      </c>
      <c r="B1" s="62"/>
      <c r="C1" s="62"/>
      <c r="D1" s="62"/>
      <c r="E1" s="62"/>
      <c r="F1" s="62"/>
      <c r="G1" s="6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46.8">
      <c r="A3" s="3" t="s">
        <v>8</v>
      </c>
      <c r="B3" s="4">
        <v>1</v>
      </c>
      <c r="C3" s="4" t="s">
        <v>9</v>
      </c>
      <c r="D3" s="4" t="s">
        <v>10</v>
      </c>
      <c r="E3" s="47" t="s">
        <v>91</v>
      </c>
      <c r="F3" s="17" t="b">
        <v>1</v>
      </c>
      <c r="G3" s="38" t="s">
        <v>104</v>
      </c>
      <c r="K3" s="25"/>
    </row>
    <row r="4" spans="1:11" ht="24" customHeight="1">
      <c r="A4" s="68" t="s">
        <v>76</v>
      </c>
      <c r="B4" s="9">
        <v>2</v>
      </c>
      <c r="C4" s="9" t="s">
        <v>9</v>
      </c>
      <c r="D4" s="9" t="s">
        <v>11</v>
      </c>
      <c r="E4" s="45" t="s">
        <v>12</v>
      </c>
      <c r="F4" s="17" t="b">
        <v>1</v>
      </c>
      <c r="G4" s="38" t="s">
        <v>105</v>
      </c>
      <c r="K4" s="25"/>
    </row>
    <row r="5" spans="1:11" ht="78">
      <c r="A5" s="70"/>
      <c r="B5" s="9">
        <v>3</v>
      </c>
      <c r="C5" s="9" t="s">
        <v>9</v>
      </c>
      <c r="D5" s="9" t="s">
        <v>55</v>
      </c>
      <c r="E5" s="45" t="s">
        <v>95</v>
      </c>
      <c r="F5" s="17" t="b">
        <v>1</v>
      </c>
      <c r="G5" s="38" t="s">
        <v>106</v>
      </c>
      <c r="K5" s="25"/>
    </row>
    <row r="6" spans="1:11" ht="62.4">
      <c r="A6" s="6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107</v>
      </c>
      <c r="K6" s="25"/>
    </row>
    <row r="7" spans="1:11" ht="62.4">
      <c r="A7" s="69"/>
      <c r="B7" s="5">
        <v>5</v>
      </c>
      <c r="C7" s="4" t="s">
        <v>9</v>
      </c>
      <c r="D7" s="4" t="s">
        <v>17</v>
      </c>
      <c r="E7" s="6" t="s">
        <v>92</v>
      </c>
      <c r="F7" s="17" t="b">
        <v>0</v>
      </c>
      <c r="G7" s="7" t="s">
        <v>108</v>
      </c>
      <c r="K7" s="25"/>
    </row>
    <row r="8" spans="1:11" ht="25.05" customHeight="1">
      <c r="A8" s="6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7" t="s">
        <v>109</v>
      </c>
      <c r="K8" s="25"/>
    </row>
    <row r="9" spans="1:11" ht="25.05" customHeight="1">
      <c r="A9" s="7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7" t="s">
        <v>110</v>
      </c>
      <c r="K9" s="25"/>
    </row>
    <row r="10" spans="1:11" ht="34.049999999999997" customHeight="1">
      <c r="A10" s="68" t="s">
        <v>21</v>
      </c>
      <c r="B10" s="9">
        <v>8</v>
      </c>
      <c r="C10" s="9" t="s">
        <v>9</v>
      </c>
      <c r="D10" s="9" t="s">
        <v>77</v>
      </c>
      <c r="E10" s="46" t="s">
        <v>78</v>
      </c>
      <c r="F10" s="18" t="b">
        <v>1</v>
      </c>
      <c r="G10" s="7" t="s">
        <v>111</v>
      </c>
      <c r="K10" s="25"/>
    </row>
    <row r="11" spans="1:11" ht="62.4">
      <c r="A11" s="6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7" t="s">
        <v>112</v>
      </c>
      <c r="K11" s="27"/>
    </row>
    <row r="12" spans="1:11" ht="31.2">
      <c r="A12" s="6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7" t="s">
        <v>113</v>
      </c>
      <c r="I12" s="23"/>
      <c r="J12" s="28"/>
      <c r="K12" s="25"/>
    </row>
    <row r="13" spans="1:11" ht="25.05" customHeight="1">
      <c r="A13" s="6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6" t="s">
        <v>114</v>
      </c>
      <c r="K13" s="25"/>
    </row>
    <row r="14" spans="1:11" ht="130.05000000000001" customHeight="1">
      <c r="A14" s="70"/>
      <c r="B14" s="9">
        <v>12</v>
      </c>
      <c r="C14" s="9" t="s">
        <v>15</v>
      </c>
      <c r="D14" s="9" t="s">
        <v>79</v>
      </c>
      <c r="E14" s="46" t="s">
        <v>97</v>
      </c>
      <c r="F14" s="18" t="b">
        <v>1</v>
      </c>
      <c r="G14" s="6" t="s">
        <v>115</v>
      </c>
      <c r="K14" s="25"/>
    </row>
    <row r="15" spans="1:11" ht="31.2">
      <c r="A15" s="77" t="s">
        <v>85</v>
      </c>
      <c r="B15" s="9">
        <v>13</v>
      </c>
      <c r="C15" s="9" t="s">
        <v>15</v>
      </c>
      <c r="D15" s="43" t="s">
        <v>82</v>
      </c>
      <c r="E15" s="45" t="s">
        <v>98</v>
      </c>
      <c r="F15" s="18" t="b">
        <v>1</v>
      </c>
      <c r="G15" s="6" t="s">
        <v>116</v>
      </c>
      <c r="K15" s="25"/>
    </row>
    <row r="16" spans="1:11" ht="25.95" customHeight="1">
      <c r="A16" s="7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6" t="s">
        <v>117</v>
      </c>
      <c r="K16" s="25"/>
    </row>
    <row r="17" spans="1:11" ht="52.95" customHeight="1">
      <c r="A17" s="77" t="s">
        <v>86</v>
      </c>
      <c r="B17" s="9">
        <v>15</v>
      </c>
      <c r="C17" s="9" t="s">
        <v>9</v>
      </c>
      <c r="D17" s="9" t="s">
        <v>24</v>
      </c>
      <c r="E17" s="45" t="s">
        <v>99</v>
      </c>
      <c r="F17" s="17" t="b">
        <v>1</v>
      </c>
      <c r="G17" s="36" t="s">
        <v>118</v>
      </c>
      <c r="K17" s="25"/>
    </row>
    <row r="18" spans="1:11" ht="37.049999999999997" customHeight="1">
      <c r="A18" s="78"/>
      <c r="B18" s="5">
        <v>16</v>
      </c>
      <c r="C18" s="4" t="s">
        <v>9</v>
      </c>
      <c r="D18" s="10" t="s">
        <v>81</v>
      </c>
      <c r="E18" s="6" t="s">
        <v>72</v>
      </c>
      <c r="F18" s="39" t="b">
        <v>1</v>
      </c>
      <c r="G18" s="41" t="s">
        <v>119</v>
      </c>
      <c r="K18" s="25"/>
    </row>
    <row r="19" spans="1:11" ht="69" customHeight="1">
      <c r="A19" s="6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 t="s">
        <v>120</v>
      </c>
      <c r="K19" s="25"/>
    </row>
    <row r="20" spans="1:11" ht="52.95" customHeight="1">
      <c r="A20" s="6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6" t="s">
        <v>121</v>
      </c>
      <c r="I20" s="23"/>
      <c r="K20" s="25"/>
    </row>
    <row r="21" spans="1:11" ht="52.95" customHeight="1">
      <c r="A21" s="7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6" t="s">
        <v>122</v>
      </c>
      <c r="I21" s="23"/>
      <c r="K21" s="25"/>
    </row>
    <row r="22" spans="1:11" ht="52.05" customHeight="1">
      <c r="A22" s="3" t="s">
        <v>2</v>
      </c>
      <c r="B22" s="74" t="s">
        <v>71</v>
      </c>
      <c r="C22" s="75"/>
      <c r="D22" s="75"/>
      <c r="E22" s="75"/>
      <c r="F22" s="75"/>
      <c r="G22" s="76"/>
      <c r="I22" s="23"/>
      <c r="K22" s="25"/>
    </row>
    <row r="23" spans="1:11">
      <c r="A23" s="3" t="s">
        <v>36</v>
      </c>
      <c r="B23" s="37">
        <v>19</v>
      </c>
      <c r="C23" s="71"/>
      <c r="D23" s="72"/>
      <c r="E23" s="72"/>
      <c r="F23" s="72"/>
      <c r="G23" s="7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796875" defaultRowHeight="17.399999999999999"/>
  <cols>
    <col min="1" max="4" width="9" style="12"/>
    <col min="5" max="6" width="15" style="12" customWidth="1"/>
    <col min="7" max="7" width="17" style="12" customWidth="1"/>
    <col min="8" max="8" width="21.296875" style="12" customWidth="1"/>
    <col min="9" max="9" width="28.5" bestFit="1" customWidth="1"/>
  </cols>
  <sheetData>
    <row r="1" spans="1:10" ht="21">
      <c r="A1" s="80" t="s">
        <v>38</v>
      </c>
      <c r="B1" s="81"/>
      <c r="C1" s="81"/>
      <c r="D1" s="81"/>
      <c r="E1" s="81"/>
      <c r="F1" s="81"/>
      <c r="G1" s="81"/>
      <c r="H1" s="81"/>
      <c r="I1" s="81"/>
      <c r="J1" s="19"/>
    </row>
    <row r="2" spans="1:10">
      <c r="A2" s="82" t="s">
        <v>30</v>
      </c>
      <c r="B2" s="82"/>
      <c r="C2" s="82"/>
      <c r="D2" s="8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5" t="s">
        <v>35</v>
      </c>
      <c r="B3" s="65"/>
      <c r="C3" s="65"/>
      <c r="D3" s="65"/>
      <c r="E3" s="85" t="s">
        <v>42</v>
      </c>
      <c r="F3" s="86"/>
      <c r="G3" s="11">
        <f>IF('AAS Model Checklist'!$F$3,1,0)+IF('AAS Model Checklist'!$F$4,1,0)+IF('AAS Model Checklist'!$F$5,1,0)+IF('AAS Model Checklist'!$F$6,1,0)+IF('AAS Model Checklist'!$F$7,1,0)+IF('AAS Model Checklist'!$F$8,1,0)+IF('AAS Model Checklist'!$F$9,1,0)+IF('AAS Model Checklist'!$F$10,1,0)+IF('AAS Model Checklist'!$F$11,1,0)+IF('AAS Model Checklist'!$F$12,1,0)+IF('AAS Model Checklist'!$F$13,1,0)+IF('AAS Model Checklist'!$F$14,1,0)+IF('AAS Model Checklist'!$F$15,1,0)+IF('AAS Model Checklist'!$F$16,1,0)+IF('AAS Model Checklist'!$F$17,1,0)+IF('AAS Model Checklist'!$F$18,1,0)+IF('AAS Model Checklist'!$F$19,1,0)+IF('AAS Model Checklist'!$F$20,1,0)+IF('AAS Model Checklist'!$F$21,1,0)</f>
        <v>18</v>
      </c>
      <c r="H3" s="11">
        <f>ROUND(G3/G5,3)*100</f>
        <v>94.699999999999989</v>
      </c>
      <c r="I3" s="34" t="s">
        <v>63</v>
      </c>
    </row>
    <row r="4" spans="1:10">
      <c r="A4" s="65"/>
      <c r="B4" s="65"/>
      <c r="C4" s="65"/>
      <c r="D4" s="65"/>
      <c r="E4" s="85" t="s">
        <v>41</v>
      </c>
      <c r="F4" s="86"/>
      <c r="G4" s="40">
        <f>'AAS Model Checklist'!$B$23-G3</f>
        <v>1</v>
      </c>
      <c r="H4" s="11">
        <f>ROUND(G4/G5,3)*100</f>
        <v>5.3</v>
      </c>
      <c r="I4" s="34" t="s">
        <v>62</v>
      </c>
    </row>
    <row r="5" spans="1:10">
      <c r="A5" s="65"/>
      <c r="B5" s="65"/>
      <c r="C5" s="65"/>
      <c r="D5" s="65"/>
      <c r="E5" s="14" t="s">
        <v>36</v>
      </c>
      <c r="F5" s="15" t="s">
        <v>26</v>
      </c>
      <c r="G5" s="14">
        <f>SUM(G3:G4)</f>
        <v>19</v>
      </c>
      <c r="H5" s="14">
        <f>SUM(H3:H4)</f>
        <v>99.999999999999986</v>
      </c>
      <c r="I5" s="35" t="s">
        <v>68</v>
      </c>
    </row>
    <row r="6" spans="1:10">
      <c r="A6" s="84" t="s">
        <v>37</v>
      </c>
      <c r="B6" s="84"/>
      <c r="C6" s="84"/>
      <c r="D6" s="84"/>
      <c r="E6" s="83" t="s">
        <v>9</v>
      </c>
      <c r="F6" s="11" t="s">
        <v>43</v>
      </c>
      <c r="G6" s="11">
        <f>IF('AAS Model Checklist'!$F$3,1,0)+IF('AAS Model Checklist'!$F$4,1,0)+IF('AAS Model Checklist'!$F$5,1,0)+IF('AAS Model Checklist'!$F$6,1,0)+IF('AAS Model Checklist'!$F$7,1,0)+IF('AAS Model Checklist'!$F$9,1,0)+IF('AAS Model Checklist'!$F$10,1,0)+IF('AAS Model Checklist'!$F$11,1,0)+IF('AAS Model Checklist'!$F$12,1,0)+IF('AAS Model Checklist'!$F$13,1,0)+IF('AAS Model Checklist'!$F$16,1,0)+IF('AAS Model Checklist'!$F$17,1,0)+IF('AAS Model Checklist'!$F$18,1,0)+IF('AAS Model Checklist'!$F$19,1,0)+IF('AAS Model Checklist'!$F$20,1,0)+IF('AAS Model Checklist'!$F$21,1,0)</f>
        <v>15</v>
      </c>
      <c r="H6" s="11">
        <f>ROUND(G6/G10,3)*100</f>
        <v>78.900000000000006</v>
      </c>
      <c r="I6" s="34" t="s">
        <v>64</v>
      </c>
    </row>
    <row r="7" spans="1:10">
      <c r="A7" s="84"/>
      <c r="B7" s="84"/>
      <c r="C7" s="84"/>
      <c r="D7" s="84"/>
      <c r="E7" s="83"/>
      <c r="F7" s="11" t="s">
        <v>44</v>
      </c>
      <c r="G7" s="11">
        <f>COUNTIF('AAS Model Checklist'!$C$3:$C$21,"필수")-G6</f>
        <v>1</v>
      </c>
      <c r="H7" s="11">
        <f>ROUND(G7/G10,3)*100</f>
        <v>5.3</v>
      </c>
      <c r="I7" s="34" t="s">
        <v>65</v>
      </c>
    </row>
    <row r="8" spans="1:10">
      <c r="A8" s="84"/>
      <c r="B8" s="84"/>
      <c r="C8" s="84"/>
      <c r="D8" s="84"/>
      <c r="E8" s="83" t="s">
        <v>15</v>
      </c>
      <c r="F8" s="11" t="s">
        <v>45</v>
      </c>
      <c r="G8" s="11">
        <f>IF('AAS Model Checklist'!$F$8,1,0)+IF('AAS Model Checklist'!$F$14,1,0)+IF('AAS Model Checklist'!$F$15,1,0)</f>
        <v>3</v>
      </c>
      <c r="H8" s="11">
        <f>ROUND(G8/G10,3)*100</f>
        <v>15.8</v>
      </c>
      <c r="I8" s="34" t="s">
        <v>66</v>
      </c>
    </row>
    <row r="9" spans="1:10">
      <c r="A9" s="84"/>
      <c r="B9" s="84"/>
      <c r="C9" s="84"/>
      <c r="D9" s="84"/>
      <c r="E9" s="83"/>
      <c r="F9" s="11" t="s">
        <v>46</v>
      </c>
      <c r="G9" s="11">
        <f>COUNTIF('AAS Model Checklist'!$C$3:$C$21,"옵션")-G8</f>
        <v>0</v>
      </c>
      <c r="H9" s="11">
        <f>ROUND(G9/G10,3)*100</f>
        <v>0</v>
      </c>
      <c r="I9" s="34" t="s">
        <v>67</v>
      </c>
    </row>
    <row r="10" spans="1:10">
      <c r="A10" s="84"/>
      <c r="B10" s="84"/>
      <c r="C10" s="84"/>
      <c r="D10" s="8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79" t="s">
        <v>61</v>
      </c>
      <c r="B12" s="79"/>
      <c r="C12" s="79"/>
      <c r="D12" s="79"/>
      <c r="E12" s="79"/>
      <c r="F12" s="79"/>
      <c r="G12" s="79"/>
      <c r="H12" s="79"/>
      <c r="I12" s="7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tabSelected="1" zoomScale="85" zoomScaleNormal="85" workbookViewId="0">
      <selection activeCell="B4" sqref="B4:F4"/>
    </sheetView>
  </sheetViews>
  <sheetFormatPr defaultColWidth="8.796875" defaultRowHeight="17.399999999999999"/>
  <cols>
    <col min="1" max="1" width="17.5" customWidth="1"/>
    <col min="2" max="2" width="14.296875" customWidth="1"/>
    <col min="3" max="3" width="13" customWidth="1"/>
    <col min="4" max="4" width="25.5" customWidth="1"/>
    <col min="5" max="5" width="11.5" customWidth="1"/>
    <col min="6" max="6" width="24.296875" customWidth="1"/>
  </cols>
  <sheetData>
    <row r="1" spans="1:6" ht="32.25" customHeight="1">
      <c r="A1" s="52" t="s">
        <v>48</v>
      </c>
      <c r="B1" s="53"/>
      <c r="C1" s="53"/>
      <c r="D1" s="53"/>
      <c r="E1" s="53"/>
      <c r="F1" s="53"/>
    </row>
    <row r="2" spans="1:6">
      <c r="A2" s="54" t="s">
        <v>50</v>
      </c>
      <c r="B2" s="55" t="s">
        <v>124</v>
      </c>
      <c r="C2" s="54" t="s">
        <v>49</v>
      </c>
      <c r="D2" s="56" t="s">
        <v>125</v>
      </c>
      <c r="E2" s="58" t="s">
        <v>51</v>
      </c>
      <c r="F2" s="60">
        <v>46305</v>
      </c>
    </row>
    <row r="3" spans="1:6">
      <c r="A3" s="54"/>
      <c r="B3" s="55"/>
      <c r="C3" s="54"/>
      <c r="D3" s="57"/>
      <c r="E3" s="59"/>
      <c r="F3" s="57"/>
    </row>
    <row r="4" spans="1:6" ht="232.5" customHeight="1">
      <c r="A4" s="30" t="s">
        <v>52</v>
      </c>
      <c r="B4" s="50" t="s">
        <v>126</v>
      </c>
      <c r="C4" s="49"/>
      <c r="D4" s="49"/>
      <c r="E4" s="49"/>
      <c r="F4" s="49"/>
    </row>
    <row r="5" spans="1:6" ht="31.5" customHeight="1">
      <c r="A5" s="30" t="s">
        <v>53</v>
      </c>
      <c r="B5" s="49" t="s">
        <v>127</v>
      </c>
      <c r="C5" s="49"/>
      <c r="D5" s="49"/>
      <c r="E5" s="49"/>
      <c r="F5" s="49"/>
    </row>
    <row r="6" spans="1:6" ht="108" customHeight="1">
      <c r="A6" s="30" t="s">
        <v>2</v>
      </c>
      <c r="B6" s="51" t="s">
        <v>123</v>
      </c>
      <c r="C6" s="51"/>
      <c r="D6" s="51"/>
      <c r="E6" s="51"/>
      <c r="F6" s="51"/>
    </row>
    <row r="16" spans="1:6">
      <c r="A16" s="48"/>
      <c r="B16" s="48"/>
      <c r="C16" s="48"/>
      <c r="D16" s="48"/>
      <c r="E16" s="48"/>
      <c r="F16" s="48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건우 박</cp:lastModifiedBy>
  <cp:lastPrinted>2025-02-14T07:07:43Z</cp:lastPrinted>
  <dcterms:created xsi:type="dcterms:W3CDTF">2025-02-14T06:46:23Z</dcterms:created>
  <dcterms:modified xsi:type="dcterms:W3CDTF">2026-10-10T06:59:57Z</dcterms:modified>
</cp:coreProperties>
</file>