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현재_통합_문서" defaultThemeVersion="202300"/>
  <mc:AlternateContent xmlns:mc="http://schemas.openxmlformats.org/markup-compatibility/2006">
    <mc:Choice Requires="x15">
      <x15ac:absPath xmlns:x15ac="http://schemas.microsoft.com/office/spreadsheetml/2010/11/ac" url="C:\Users\IODA\Desktop\오주현\AAS\aas 담당 장비 최종 제출용\제트염색기\수정제출\"/>
    </mc:Choice>
  </mc:AlternateContent>
  <xr:revisionPtr revIDLastSave="0" documentId="13_ncr:1_{87FB687E-1459-4DA5-B1EC-F79FE295102D}" xr6:coauthVersionLast="47" xr6:coauthVersionMax="47" xr10:uidLastSave="{00000000-0000-0000-0000-000000000000}"/>
  <bookViews>
    <workbookView xWindow="28680" yWindow="-120" windowWidth="29040" windowHeight="15720" firstSheet="2" activeTab="3" xr2:uid="{5D672DD9-5B8D-4463-AED7-35C87E05FECA}"/>
  </bookViews>
  <sheets>
    <sheet name="AAS Model Checklist Information" sheetId="1" r:id="rId1"/>
    <sheet name="AAS Model Checklist" sheetId="2" r:id="rId2"/>
    <sheet name="AAS Model Checklist Result" sheetId="3" r:id="rId3"/>
    <sheet name="Additional Considera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G8" i="3"/>
  <c r="G7" i="3"/>
  <c r="G6" i="3"/>
  <c r="G3" i="3"/>
  <c r="G4" i="3" s="1"/>
  <c r="G5" i="3" l="1"/>
  <c r="G10" i="3"/>
  <c r="H4" i="3" l="1"/>
  <c r="H3" i="3"/>
  <c r="H8" i="3"/>
  <c r="H9" i="3"/>
  <c r="H6" i="3"/>
  <c r="H7" i="3"/>
  <c r="H5" i="3" l="1"/>
  <c r="H10"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<sst xmlns="http://schemas.openxmlformats.org/spreadsheetml/2006/main" count="208" uniqueCount="173">
  <si>
    <t>기본정보</t>
    <phoneticPr fontId="2" type="noConversion"/>
  </si>
  <si>
    <t>설명</t>
    <phoneticPr fontId="2" type="noConversion"/>
  </si>
  <si>
    <t>비고</t>
    <phoneticPr fontId="2" type="noConversion"/>
  </si>
  <si>
    <t>분류(대상)</t>
    <phoneticPr fontId="2" type="noConversion"/>
  </si>
  <si>
    <t>번호</t>
    <phoneticPr fontId="2" type="noConversion"/>
  </si>
  <si>
    <t>중요도</t>
    <phoneticPr fontId="2" type="noConversion"/>
  </si>
  <si>
    <t>체크사항</t>
    <phoneticPr fontId="2" type="noConversion"/>
  </si>
  <si>
    <t>체크</t>
    <phoneticPr fontId="2" type="noConversion"/>
  </si>
  <si>
    <t>기본사항</t>
    <phoneticPr fontId="2" type="noConversion"/>
  </si>
  <si>
    <t>필수</t>
    <phoneticPr fontId="2" type="noConversion"/>
  </si>
  <si>
    <t>Thumnail</t>
    <phoneticPr fontId="2" type="noConversion"/>
  </si>
  <si>
    <t>idShort 설정여부</t>
    <phoneticPr fontId="2" type="noConversion"/>
  </si>
  <si>
    <t>idShort가 설정되어 있는지 확인한다.</t>
    <phoneticPr fontId="2" type="noConversion"/>
  </si>
  <si>
    <t>Id</t>
    <phoneticPr fontId="2" type="noConversion"/>
  </si>
  <si>
    <t>Id 버전</t>
    <phoneticPr fontId="2" type="noConversion"/>
  </si>
  <si>
    <t>옵션</t>
    <phoneticPr fontId="2" type="noConversion"/>
  </si>
  <si>
    <t>description 또는 definition 여부</t>
    <phoneticPr fontId="2" type="noConversion"/>
  </si>
  <si>
    <t>Submodel 구성</t>
    <phoneticPr fontId="2" type="noConversion"/>
  </si>
  <si>
    <t>globalAssetId 여부</t>
    <phoneticPr fontId="2" type="noConversion"/>
  </si>
  <si>
    <t>globalAssetId가 설정되어 있는지 확인한다.</t>
    <phoneticPr fontId="2" type="noConversion"/>
  </si>
  <si>
    <t>Type종류</t>
    <phoneticPr fontId="2" type="noConversion"/>
  </si>
  <si>
    <t>Submodel</t>
    <phoneticPr fontId="2" type="noConversion"/>
  </si>
  <si>
    <t>Semantic ID</t>
    <phoneticPr fontId="2" type="noConversion"/>
  </si>
  <si>
    <t>kind</t>
    <phoneticPr fontId="2" type="noConversion"/>
  </si>
  <si>
    <t>value 값 여부</t>
    <phoneticPr fontId="2" type="noConversion"/>
  </si>
  <si>
    <t>ConceptDescription</t>
    <phoneticPr fontId="2" type="noConversion"/>
  </si>
  <si>
    <t>-</t>
    <phoneticPr fontId="2" type="noConversion"/>
  </si>
  <si>
    <t>정보</t>
    <phoneticPr fontId="2" type="noConversion"/>
  </si>
  <si>
    <t>IRDI 관련 내용</t>
    <phoneticPr fontId="2" type="noConversion"/>
  </si>
  <si>
    <t>IRI 양식</t>
    <phoneticPr fontId="2" type="noConversion"/>
  </si>
  <si>
    <t>분류</t>
    <phoneticPr fontId="2" type="noConversion"/>
  </si>
  <si>
    <t>기준항목</t>
    <phoneticPr fontId="2" type="noConversion"/>
  </si>
  <si>
    <t>세부항목</t>
    <phoneticPr fontId="2" type="noConversion"/>
  </si>
  <si>
    <t>개수</t>
    <phoneticPr fontId="2" type="noConversion"/>
  </si>
  <si>
    <t>%</t>
    <phoneticPr fontId="2" type="noConversion"/>
  </si>
  <si>
    <t>단순통계</t>
    <phoneticPr fontId="2" type="noConversion"/>
  </si>
  <si>
    <t>합계</t>
    <phoneticPr fontId="2" type="noConversion"/>
  </si>
  <si>
    <t>'중요도'기준 통계</t>
    <phoneticPr fontId="2" type="noConversion"/>
  </si>
  <si>
    <t>AAS Model Checklist Result</t>
    <phoneticPr fontId="2" type="noConversion"/>
  </si>
  <si>
    <t>AAS Model Checklist Information</t>
    <phoneticPr fontId="2" type="noConversion"/>
  </si>
  <si>
    <t>AAS 모델링시 참조한 표준 및 근거자료에 대한 버전을 확인한다.
예시) CDD 버전, eCl@ss 버전, ETIM 버전 등</t>
    <phoneticPr fontId="2" type="noConversion"/>
  </si>
  <si>
    <t></t>
    <phoneticPr fontId="2" type="noConversion"/>
  </si>
  <si>
    <t></t>
    <phoneticPr fontId="2" type="noConversion"/>
  </si>
  <si>
    <r>
      <t xml:space="preserve">"필수" 中 </t>
    </r>
    <r>
      <rPr>
        <sz val="10"/>
        <color theme="1"/>
        <rFont val="Wingdings"/>
        <family val="2"/>
        <charset val="2"/>
      </rPr>
      <t></t>
    </r>
    <phoneticPr fontId="2" type="noConversion"/>
  </si>
  <si>
    <r>
      <t xml:space="preserve">"필수" 中 </t>
    </r>
    <r>
      <rPr>
        <sz val="10"/>
        <color theme="1"/>
        <rFont val="Wingdings"/>
        <family val="2"/>
        <charset val="2"/>
      </rPr>
      <t></t>
    </r>
    <phoneticPr fontId="2" type="noConversion"/>
  </si>
  <si>
    <r>
      <t xml:space="preserve">"옵션" 中 </t>
    </r>
    <r>
      <rPr>
        <sz val="10"/>
        <color theme="1"/>
        <rFont val="Wingdings"/>
        <family val="2"/>
        <charset val="2"/>
      </rPr>
      <t></t>
    </r>
    <phoneticPr fontId="2" type="noConversion"/>
  </si>
  <si>
    <r>
      <t xml:space="preserve">"옵션" 中 </t>
    </r>
    <r>
      <rPr>
        <sz val="10"/>
        <color theme="1"/>
        <rFont val="Wingdings"/>
        <family val="2"/>
        <charset val="2"/>
      </rPr>
      <t></t>
    </r>
    <phoneticPr fontId="2" type="noConversion"/>
  </si>
  <si>
    <t>definition 여부</t>
    <phoneticPr fontId="2" type="noConversion"/>
  </si>
  <si>
    <t>추가 검토사항</t>
    <phoneticPr fontId="2" type="noConversion"/>
  </si>
  <si>
    <t>2. 소속</t>
    <phoneticPr fontId="2" type="noConversion"/>
  </si>
  <si>
    <t>1. 검토자</t>
    <phoneticPr fontId="2" type="noConversion"/>
  </si>
  <si>
    <t>3. 검토일</t>
    <phoneticPr fontId="2" type="noConversion"/>
  </si>
  <si>
    <t>4. 검토사항</t>
    <phoneticPr fontId="2" type="noConversion"/>
  </si>
  <si>
    <t>5. 기타사항</t>
    <phoneticPr fontId="2" type="noConversion"/>
  </si>
  <si>
    <r>
      <t xml:space="preserve">Semantic ID가 작성되어 있는지 확인한다. 
</t>
    </r>
    <r>
      <rPr>
        <sz val="10"/>
        <color theme="1"/>
        <rFont val="맑은 고딕"/>
        <family val="3"/>
        <charset val="129"/>
      </rPr>
      <t>표준 서브모델이 아닌 경우, 적절한 형식의 IRI 식별자인지 확인한다.</t>
    </r>
    <phoneticPr fontId="2" type="noConversion"/>
  </si>
  <si>
    <t>idShort 명명규칙</t>
    <phoneticPr fontId="2" type="noConversion"/>
  </si>
  <si>
    <t>'kind'가 'Type'으로 지정되어 있는지 확인한다.</t>
    <phoneticPr fontId="2" type="noConversion"/>
  </si>
  <si>
    <t>'kind'가 'Template'으로 지정되어 있는지 확인한다</t>
    <phoneticPr fontId="2" type="noConversion"/>
  </si>
  <si>
    <t>비고 (검토의견)</t>
    <phoneticPr fontId="2" type="noConversion"/>
  </si>
  <si>
    <t>체크리스트
참조/공통체크사항</t>
    <phoneticPr fontId="2" type="noConversion"/>
  </si>
  <si>
    <t>AAS</t>
    <phoneticPr fontId="2" type="noConversion"/>
  </si>
  <si>
    <t>※ "AAS Model Checklist" sheet에서 각 체크사항에 대해 충족/불충족 항목들에 대한 개수를 정리한 시트입니다.</t>
    <phoneticPr fontId="2" type="noConversion"/>
  </si>
  <si>
    <t>체크사항 불충족 항목</t>
    <phoneticPr fontId="2" type="noConversion"/>
  </si>
  <si>
    <t>체크사항 충족 항목</t>
    <phoneticPr fontId="2" type="noConversion"/>
  </si>
  <si>
    <t>필수 체크사항 충족 항목</t>
    <phoneticPr fontId="2" type="noConversion"/>
  </si>
  <si>
    <t>필수 체크사항 불충족 항목</t>
    <phoneticPr fontId="2" type="noConversion"/>
  </si>
  <si>
    <t>옵션 체크사항 충족 항목</t>
    <phoneticPr fontId="2" type="noConversion"/>
  </si>
  <si>
    <t>옵션 체크사항 불충족 항목</t>
    <phoneticPr fontId="2" type="noConversion"/>
  </si>
  <si>
    <t>총 체크사항</t>
    <phoneticPr fontId="2" type="noConversion"/>
  </si>
  <si>
    <t>기타</t>
    <phoneticPr fontId="2" type="noConversion"/>
  </si>
  <si>
    <t>\</t>
    <phoneticPr fontId="2" type="noConversion"/>
  </si>
  <si>
    <t>-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t>
    <phoneticPr fontId="2" type="noConversion"/>
  </si>
  <si>
    <t>valueType이 설정되어야 하며, 
연결된 Concept Description의 dataType과 매칭되는 데이터 타입으로 설정되어야 한다</t>
    <phoneticPr fontId="2" type="noConversion"/>
  </si>
  <si>
    <t>dataType 설정여부</t>
    <phoneticPr fontId="2" type="noConversion"/>
  </si>
  <si>
    <t>각 항목의 Id 양식을 확인하고, IRDI 형식인지 IRI 형식인지 구분한다.
IRDI인 경우, 해당 항목이 CDD/Ecl@ss에 존재하여야 한다.
IRI인 경우, 정해진 양식을 준수하고 있는지 확인한다.</t>
    <phoneticPr fontId="2" type="noConversion"/>
  </si>
  <si>
    <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t>
    <phoneticPr fontId="2" type="noConversion"/>
  </si>
  <si>
    <t>공통</t>
    <phoneticPr fontId="2" type="noConversion"/>
  </si>
  <si>
    <t>최신 Version 여부</t>
    <phoneticPr fontId="2" type="noConversion"/>
  </si>
  <si>
    <t>IDTA 서브모델 템플릿을 활용하는 경우, 최신 버전의 템플릿을 사용하고 있는지 확인한다.</t>
    <phoneticPr fontId="2" type="noConversion"/>
  </si>
  <si>
    <t>계층 세분화</t>
    <phoneticPr fontId="2" type="noConversion"/>
  </si>
  <si>
    <t>Concept Description 매핑여부</t>
    <phoneticPr fontId="2" type="noConversion"/>
  </si>
  <si>
    <t>Concept Description과 
data type 매칭여부</t>
    <phoneticPr fontId="2" type="noConversion"/>
  </si>
  <si>
    <t>특수 SME 배제 여부</t>
    <phoneticPr fontId="2" type="noConversion"/>
  </si>
  <si>
    <t>AAS Model 정량적 검토 Checklist</t>
    <phoneticPr fontId="2" type="noConversion"/>
  </si>
  <si>
    <t>* 본 체크리스트는 2026년 중소기업벤처부 과제공고 기준을 대상으로 제작하였습니다.</t>
    <phoneticPr fontId="2" type="noConversion"/>
  </si>
  <si>
    <t xml:space="preserve">SME
(Submodel Element) </t>
    <phoneticPr fontId="2" type="noConversion"/>
  </si>
  <si>
    <t>SME 중
Property</t>
    <phoneticPr fontId="2" type="noConversion"/>
  </si>
  <si>
    <t xml:space="preserve">Submodel Elements가 Concept Description과 올바르게 매핑되어 있는지 확인한다 </t>
    <phoneticPr fontId="2" type="noConversion"/>
  </si>
  <si>
    <t>장비특화 Submodel 구성</t>
    <phoneticPr fontId="2" type="noConversion"/>
  </si>
  <si>
    <t>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t>
    <phoneticPr fontId="2" type="noConversion"/>
  </si>
  <si>
    <r>
      <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t>
    </r>
    <r>
      <rPr>
        <sz val="10"/>
        <color theme="1"/>
        <rFont val="맑은 고딕"/>
        <family val="3"/>
        <charset val="129"/>
      </rPr>
      <t>③ Property의 완성도 및 충실도에 대한 정성적 평가를 진행한다. 즉, 본 체크리스트를 통해 정량적으로 평가하지는 않지만, 이후 전문가들에 의해 Property 개수, Property 의미 등이 정성적으로 평가될 예정이다.</t>
    </r>
    <r>
      <rPr>
        <sz val="10"/>
        <color theme="1"/>
        <rFont val="맑은 고딕"/>
        <family val="3"/>
        <charset val="129"/>
        <scheme val="minor"/>
      </rPr>
      <t xml:space="preserve">
</t>
    </r>
    <r>
      <rPr>
        <b/>
        <sz val="10"/>
        <color theme="1"/>
        <rFont val="맑은 고딕"/>
        <family val="3"/>
        <charset val="129"/>
      </rPr>
      <t>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t>
    </r>
    <r>
      <rPr>
        <sz val="10"/>
        <color theme="1"/>
        <rFont val="맑은 고딕"/>
        <family val="3"/>
        <charset val="129"/>
      </rPr>
      <t xml:space="preserve">
</t>
    </r>
    <r>
      <rPr>
        <sz val="10"/>
        <color theme="1"/>
        <rFont val="맑은 고딕"/>
        <family val="2"/>
        <charset val="129"/>
      </rPr>
      <t>⑤ 모</t>
    </r>
    <r>
      <rPr>
        <sz val="10"/>
        <color theme="1"/>
        <rFont val="맑은 고딕"/>
        <family val="3"/>
        <charset val="129"/>
      </rPr>
      <t>델 제출 시에는 "「AAS 제조데이터 표준 참조모델 사전 검증 보고서」 작성 요령"에 따라 사전 검증보고서를 제출하여야 한다.</t>
    </r>
    <phoneticPr fontId="2" type="noConversion"/>
  </si>
  <si>
    <t>AASX 파일에 Thumbnail 이미지가 포함되어 있으며, AssetInformation의 defaultThumbnail에 동일한 경로가 설정되어 있는지 확인한다.</t>
    <phoneticPr fontId="2" type="noConversion"/>
  </si>
  <si>
    <r>
      <t>AAS 모델링에서 필수적인 성격을 지닌 아래의 4가지 Submodel이 포함되어 있으며</t>
    </r>
    <r>
      <rPr>
        <b/>
        <sz val="10"/>
        <color theme="1"/>
        <rFont val="맑은 고딕"/>
        <family val="3"/>
        <charset val="129"/>
        <scheme val="minor"/>
      </rPr>
      <t xml:space="preserve"> 총 6종 이상 8종 이하의 Submodel로 구성되어 있는지 확인한다.</t>
    </r>
    <r>
      <rPr>
        <sz val="10"/>
        <color theme="1"/>
        <rFont val="맑은 고딕"/>
        <family val="3"/>
        <charset val="129"/>
        <scheme val="minor"/>
      </rPr>
      <t xml:space="preserve">
① </t>
    </r>
    <r>
      <rPr>
        <b/>
        <sz val="10"/>
        <color theme="1"/>
        <rFont val="맑은 고딕"/>
        <family val="3"/>
        <charset val="129"/>
        <scheme val="minor"/>
      </rPr>
      <t>Digital Nameplate</t>
    </r>
    <r>
      <rPr>
        <sz val="10"/>
        <color theme="1"/>
        <rFont val="맑은 고딕"/>
        <family val="3"/>
        <charset val="129"/>
        <scheme val="minor"/>
      </rPr>
      <t xml:space="preserve">, ② </t>
    </r>
    <r>
      <rPr>
        <b/>
        <sz val="10"/>
        <color theme="1"/>
        <rFont val="맑은 고딕"/>
        <family val="3"/>
        <charset val="129"/>
      </rPr>
      <t>Handover Documentation,</t>
    </r>
    <r>
      <rPr>
        <sz val="10"/>
        <color theme="1"/>
        <rFont val="맑은 고딕"/>
        <family val="3"/>
        <charset val="129"/>
        <scheme val="minor"/>
      </rPr>
      <t xml:space="preserve">
③ Technical Data, ④ </t>
    </r>
    <r>
      <rPr>
        <sz val="10"/>
        <color theme="1"/>
        <rFont val="맑은 고딕"/>
        <family val="3"/>
        <charset val="129"/>
      </rPr>
      <t>Operational Data</t>
    </r>
    <phoneticPr fontId="2" type="noConversion"/>
  </si>
  <si>
    <t>해당 항목에 대한 definition이 작성되어 있는지 확인한다.
* description이 작성되어 있는 경우도 포함</t>
    <phoneticPr fontId="2" type="noConversion"/>
  </si>
  <si>
    <t>각 항목의 Id 양식을 확인하고, IRDI 형식인지 IRI 형식인지 구분한다.
* IRDI인 경우, 해당 항목이 CDD/Ecl@ss에 존재하여야 한다.
* IRI인 경우, 정해진 양식을 준수하고 있는지 확인한다.</t>
    <phoneticPr fontId="2" type="noConversion"/>
  </si>
  <si>
    <r>
      <t>idShort가 정의된 양식을 준수하고 있는지 확인한다.
※ 예외사항</t>
    </r>
    <r>
      <rPr>
        <b/>
        <strike/>
        <sz val="10"/>
        <color theme="1"/>
        <rFont val="맑은 고딕"/>
        <family val="3"/>
        <charset val="129"/>
        <scheme val="minor"/>
      </rPr>
      <t xml:space="preserve">
</t>
    </r>
    <r>
      <rPr>
        <b/>
        <sz val="10"/>
        <color rgb="FFFF0000"/>
        <rFont val="맑은 고딕"/>
        <family val="3"/>
        <charset val="129"/>
      </rPr>
      <t>Submodel Element List의 하위에 속하는 Submodel Element는 idShort를 작성하지 않아도 되며, 작성하는 경우 명명규칙을 준수하여야 함</t>
    </r>
    <phoneticPr fontId="2" type="noConversion"/>
  </si>
  <si>
    <r>
      <t xml:space="preserve">각 항목의 Id 양식을 확인하고, IRDI 형식인지 IRI 형식인지 구분한다.
IRI인 경우, 정해진 양식을 준수하고 있는지 확인한다.
</t>
    </r>
    <r>
      <rPr>
        <b/>
        <sz val="10"/>
        <color rgb="FFFF0000"/>
        <rFont val="맑은 고딕"/>
        <family val="3"/>
        <charset val="129"/>
      </rPr>
      <t>* administration에 버전 정보를 입력하고 ID 뒷부분 '/version' 과 일치 시킬것</t>
    </r>
    <phoneticPr fontId="2" type="noConversion"/>
  </si>
  <si>
    <r>
      <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t>
    </r>
    <r>
      <rPr>
        <b/>
        <sz val="10"/>
        <color rgb="FFFF0000"/>
        <rFont val="맑은 고딕"/>
        <family val="3"/>
        <charset val="129"/>
      </rPr>
      <t>* 각 계층과 컬렉션은 명확한 분류 목적을 가져야 하며, 별도의 모델링 근거 없이 단순히 하위 요소만을 포함하는 중간 SMC는 계층 세분화 요건을 충족하지 않은 것으로 판단함.</t>
    </r>
    <phoneticPr fontId="2" type="noConversion"/>
  </si>
  <si>
    <r>
      <t xml:space="preserve">AAS 참조모델 개발 시 사용을 지양하는 Operation, BasicEventElement, </t>
    </r>
    <r>
      <rPr>
        <b/>
        <sz val="10"/>
        <color rgb="FFFF0000"/>
        <rFont val="맑은 고딕"/>
        <family val="3"/>
        <charset val="129"/>
      </rPr>
      <t xml:space="preserve">Capability </t>
    </r>
    <r>
      <rPr>
        <b/>
        <sz val="10"/>
        <color theme="1"/>
        <rFont val="맑은 고딕"/>
        <family val="3"/>
        <charset val="129"/>
        <scheme val="minor"/>
      </rPr>
      <t>엘리먼트가 사용되지 않았는지 확인한다.</t>
    </r>
    <phoneticPr fontId="2" type="noConversion"/>
  </si>
  <si>
    <r>
      <t xml:space="preserve">value값에 Example Data가 기입 되었는지 확인한다. 
</t>
    </r>
    <r>
      <rPr>
        <b/>
        <sz val="10"/>
        <color rgb="FFFF0000"/>
        <rFont val="맑은 고딕"/>
        <family val="3"/>
        <charset val="129"/>
      </rPr>
      <t>* DigitalNameplate, HandoverDocumentation 제외</t>
    </r>
    <phoneticPr fontId="2" type="noConversion"/>
  </si>
  <si>
    <t>Concept Description의 dataType이 설정되어 있는지 확인한다
* eCl@ss/CDD에서 dataType이 정의되어 있지 않은 경우는 제외</t>
    <phoneticPr fontId="2" type="noConversion"/>
  </si>
  <si>
    <r>
      <t xml:space="preserve">
구조 : 
- Submodel: </t>
    </r>
    <r>
      <rPr>
        <u/>
        <sz val="10"/>
        <color theme="1"/>
        <rFont val="맑은 고딕"/>
        <family val="3"/>
        <charset val="129"/>
      </rPr>
      <t xml:space="preserve">KOSMO 홈페이지주소/ids/sm/AAS명/Submodel명/version
</t>
    </r>
    <r>
      <rPr>
        <sz val="10"/>
        <color theme="1"/>
        <rFont val="맑은 고딕"/>
        <family val="3"/>
        <charset val="129"/>
        <scheme val="minor"/>
      </rPr>
      <t xml:space="preserve">예시) https://www.smart-factory.kr/ids/sm/ACB/TechnicalData/1/0
- Submodel 외 항목: </t>
    </r>
    <r>
      <rPr>
        <u/>
        <sz val="10"/>
        <color theme="1"/>
        <rFont val="맑은 고딕"/>
        <family val="3"/>
        <charset val="129"/>
        <scheme val="minor"/>
      </rPr>
      <t xml:space="preserve">KOSMO 홈페이지주소/ids/카테고리/변수명/version
</t>
    </r>
    <r>
      <rPr>
        <sz val="10"/>
        <color theme="1"/>
        <rFont val="맑은 고딕"/>
        <family val="3"/>
        <charset val="129"/>
        <scheme val="minor"/>
      </rPr>
      <t xml:space="preserve">예시) https://www.smart-factory.kr/ids/cd/TypeOfActuator/1/0
       https://www.smart-factory.kr/ids/aas/ACB/1/0
</t>
    </r>
    <r>
      <rPr>
        <sz val="10"/>
        <color theme="1"/>
        <rFont val="맑은 고딕"/>
        <family val="3"/>
        <charset val="129"/>
      </rPr>
      <t xml:space="preserve">* IDTA 표준 서브모델 템플릿을 사용한 경우에는 IRI를 변경하지 않고, 그대로 사용해야 한다. 단, 서브모델의 Id는 IDTA에서 정의한 IRI가 있더라도 중기부에서 정의한 구조를 사용해야 한다.
</t>
    </r>
    <r>
      <rPr>
        <b/>
        <sz val="10"/>
        <color rgb="FFFF0000"/>
        <rFont val="맑은 고딕"/>
        <family val="2"/>
        <charset val="129"/>
      </rPr>
      <t>* AAS와 Submodel에 한하여 administration에 버전 정보를 입력하고 ID 뒷부분 '/version' 과 일치 시킬것</t>
    </r>
    <r>
      <rPr>
        <sz val="10"/>
        <color theme="1"/>
        <rFont val="맑은 고딕"/>
        <family val="3"/>
        <charset val="129"/>
      </rPr>
      <t xml:space="preserve">
</t>
    </r>
    <r>
      <rPr>
        <sz val="10"/>
        <color theme="1"/>
        <rFont val="맑은 고딕"/>
        <family val="3"/>
        <charset val="129"/>
        <scheme val="minor"/>
      </rPr>
      <t xml:space="preserve">
* 용어설명
sm: Submodel
cd : ConceptDescription
aas : AAS
        </t>
    </r>
    <phoneticPr fontId="2" type="noConversion"/>
  </si>
  <si>
    <r>
      <rPr>
        <b/>
        <sz val="10"/>
        <color theme="1"/>
        <rFont val="맑은 고딕"/>
        <family val="3"/>
        <charset val="129"/>
        <scheme val="minor"/>
      </rPr>
      <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t>
    </r>
    <r>
      <rPr>
        <b/>
        <sz val="10"/>
        <color rgb="FFFF0000"/>
        <rFont val="맑은 고딕"/>
        <family val="3"/>
        <charset val="129"/>
      </rPr>
      <t>* 각 계층과 컬렉션은 명확한 분류 목적을 가져야 하며, 별도의 모델링 근거 없이 단순히 하위 요소만을 포함하는 중간 SMC는 계층 세분화 요건을 충족하지 않은 것으로 판단함.</t>
    </r>
    <r>
      <rPr>
        <b/>
        <sz val="10"/>
        <color rgb="FF0070C0"/>
        <rFont val="맑은 고딕"/>
        <family val="2"/>
        <charset val="129"/>
        <scheme val="minor"/>
      </rPr>
      <t xml:space="preserve">
</t>
    </r>
    <phoneticPr fontId="2" type="noConversion"/>
  </si>
  <si>
    <r>
      <t>idShort가 설정되어 있는지 확인한다.
* Naming rule/Convention (권고사항)
① 공백, 특수문</t>
    </r>
    <r>
      <rPr>
        <sz val="10"/>
        <color theme="1"/>
        <rFont val="맑은 고딕"/>
        <family val="3"/>
        <charset val="129"/>
        <scheme val="minor"/>
      </rPr>
      <t xml:space="preserve">자(‘_’, underbar, </t>
    </r>
    <r>
      <rPr>
        <sz val="10"/>
        <color rgb="FFFF0000"/>
        <rFont val="맑은 고딕"/>
        <family val="3"/>
        <charset val="129"/>
      </rPr>
      <t xml:space="preserve">‘-‘, hyphen </t>
    </r>
    <r>
      <rPr>
        <sz val="10"/>
        <color theme="1"/>
        <rFont val="맑은 고딕"/>
        <family val="3"/>
        <charset val="129"/>
        <scheme val="minor"/>
      </rPr>
      <t>제외)를</t>
    </r>
    <r>
      <rPr>
        <sz val="10"/>
        <color rgb="FF000000"/>
        <rFont val="맑은 고딕"/>
        <family val="3"/>
        <charset val="129"/>
        <scheme val="minor"/>
      </rPr>
      <t xml:space="preserve"> 포함하지 않음
② 일관된 표기법 사용 / 예) 모든 단어를 띄어쓰기 없이 대문자로 시작
예시) "Rated voltage" -&gt; "RatedVoltage" 또는 "Rated_Voltage" 등등</t>
    </r>
    <phoneticPr fontId="2" type="noConversion"/>
  </si>
  <si>
    <t>AASX 내부에 제트염색기 Thumbnail 이미지가 포함되어 있으며, AssetInformation의 defaultThumbnail 경로와 정상 연결됨.</t>
    <phoneticPr fontId="2" type="noConversion"/>
  </si>
  <si>
    <t>AAS, Submodel, Submodel Element 및 ConceptDescription에 idShort가 누락 없이 설정됨.</t>
    <phoneticPr fontId="2" type="noConversion"/>
  </si>
  <si>
    <t>idShort는 공백 없이 영문 PascalCase 또는 CamelCase 형식으로 작성되었으며, 동일 계층 내 중복이 없음.</t>
    <phoneticPr fontId="2" type="noConversion"/>
  </si>
  <si>
    <r>
      <t xml:space="preserve">AAS Id가 IRI 형식으로 작성되었으며, administration의 버전 1/0과 Id 끝단의 </t>
    </r>
    <r>
      <rPr>
        <sz val="10"/>
        <color theme="1"/>
        <rFont val="Arial Unicode MS"/>
        <family val="3"/>
        <charset val="129"/>
      </rPr>
      <t>/1/0</t>
    </r>
    <r>
      <rPr>
        <sz val="11"/>
        <color theme="1"/>
        <rFont val="맑은 고딕"/>
        <family val="2"/>
        <charset val="129"/>
        <scheme val="minor"/>
      </rPr>
      <t>이 일치함.</t>
    </r>
  </si>
  <si>
    <t>Digital Nameplate, Handover Documentation, Technical Data, Operational Data를 포함하여 총 8개 Submodel로 구성됨.</t>
  </si>
  <si>
    <t>globalAssetId에 대상 장비명 JetDyeingMachine이 포함된 고유 IRI가 설정됨.</t>
  </si>
  <si>
    <t>AssetInformation의 assetKind가 Type으로 설정되어 참조모델 용도에 부합함.</t>
  </si>
  <si>
    <t>Digital Nameplate 3.0.1, Handover Documentation 2.0.1, Technical Data 2.0.1, Functional Safety 1.0.1, Time Series 1.1.1 등 공식 공개 버전을 적용함.</t>
  </si>
  <si>
    <t>모든 Submodel Id가 고유한 IRI 형식으로 작성되었으며, administration 버전과 Id 끝단의 버전이 일치함.</t>
  </si>
  <si>
    <t>IDTA 표준 Submodel은 원본 semanticId를 유지하고, 자체 정의 Submodel에는 고유한 IRI semanticId를 적용함.</t>
    <phoneticPr fontId="2" type="noConversion"/>
  </si>
  <si>
    <t>모든 Submodel의 kind가 Template으로 설정되어 참조모델 작성기준에 부합함.</t>
  </si>
  <si>
    <t>Technical Data와 Operational Data의 장비특화 항목이 Depth 1 및 Depth 2 SMC 구조로 계층화되어 있음.</t>
  </si>
  <si>
    <t>참조모델 활용을 제한하는 Operation, BasicEventElement 및 Capability 요소가 사용되지 않음.</t>
    <phoneticPr fontId="2" type="noConversion"/>
  </si>
  <si>
    <t>모든 Submodel Element가 대응하는 ConceptDescription 또는 표준 semanticId와 정상적으로 연결되어 있음.</t>
    <phoneticPr fontId="2" type="noConversion"/>
  </si>
  <si>
    <t>적용 대상 Property에 활용 가능한 예시값이 입력되어 있으며, Digital Nameplate와 Handover Documentation은 예외기준을 적용함.</t>
  </si>
  <si>
    <t>표준 항목에는 검증된 IRDI를 사용하고, 자체 정의 항목에는 중소벤처기업부 IRI 작성규칙에 따른 고유 Id를 적용함.</t>
  </si>
  <si>
    <t>ConceptDescription에 PreferredName과 Definition이 작성되어 있으며, 자체 정의 항목의 Definition에는 영문 설명이 포함됨.</t>
  </si>
  <si>
    <t>ConceptDescription별 dataType이 설정되어 있으며, eCl@ss·CDD 표준 항목은 원본에서 정의한 dataType을 유지함.</t>
  </si>
  <si>
    <t>오주현</t>
    <phoneticPr fontId="2" type="noConversion"/>
  </si>
  <si>
    <t>한양대학교</t>
    <phoneticPr fontId="2" type="noConversion"/>
  </si>
  <si>
    <t>서브모델</t>
  </si>
  <si>
    <t>대조 경로·범위</t>
  </si>
  <si>
    <t>현재 확인 결과·수정 내역</t>
  </si>
  <si>
    <t>예외·미확인 범위</t>
  </si>
  <si>
    <t>관련 지적번호</t>
  </si>
  <si>
    <t>Nameplate</t>
  </si>
  <si>
    <t>V3.0.1</t>
  </si>
  <si>
    <t>공식 원본 대비 필수·선택 요소, 계층, semanticId, qualifier</t>
  </si>
  <si>
    <t>HandoverDocumentation</t>
  </si>
  <si>
    <t>V2.0.1</t>
  </si>
  <si>
    <t>59·61</t>
  </si>
  <si>
    <t>TechnicalData</t>
  </si>
  <si>
    <r>
      <t>TechnicalPropertyAreas</t>
    </r>
    <r>
      <rPr>
        <sz val="11"/>
        <color theme="1"/>
        <rFont val="맑은 고딕"/>
        <family val="2"/>
        <charset val="129"/>
        <scheme val="minor"/>
      </rPr>
      <t>와 하위 기술사양 그룹, 계획서 2.4 표제</t>
    </r>
  </si>
  <si>
    <t>61·96</t>
  </si>
  <si>
    <t>FunctionalSafety</t>
  </si>
  <si>
    <t>V1.0.1</t>
  </si>
  <si>
    <r>
      <t>SafetyDeviceTypes/SafetySubsystem</t>
    </r>
    <r>
      <rPr>
        <sz val="11"/>
        <color theme="1"/>
        <rFont val="맑은 고딕"/>
        <family val="2"/>
        <charset val="129"/>
        <scheme val="minor"/>
      </rPr>
      <t>, 특성세트 수 및 추가 설명 항목</t>
    </r>
  </si>
  <si>
    <t>58·61</t>
  </si>
  <si>
    <t>ProcessParameters</t>
  </si>
  <si>
    <t>V1.0</t>
  </si>
  <si>
    <r>
      <t>Processes/Process__00__/ProcessBoM/InputSemiFinishedProduct</t>
    </r>
    <r>
      <rPr>
        <sz val="11"/>
        <color theme="1"/>
        <rFont val="맑은 고딕"/>
        <family val="2"/>
        <charset val="129"/>
        <scheme val="minor"/>
      </rPr>
      <t xml:space="preserve">, </t>
    </r>
    <r>
      <rPr>
        <sz val="10"/>
        <color theme="1"/>
        <rFont val="Arial Unicode MS"/>
        <family val="3"/>
        <charset val="129"/>
      </rPr>
      <t>ConsumableParameters</t>
    </r>
    <r>
      <rPr>
        <sz val="11"/>
        <color theme="1"/>
        <rFont val="맑은 고딕"/>
        <family val="2"/>
        <charset val="129"/>
        <scheme val="minor"/>
      </rPr>
      <t xml:space="preserve">, </t>
    </r>
    <r>
      <rPr>
        <sz val="10"/>
        <color theme="1"/>
        <rFont val="Arial Unicode MS"/>
        <family val="3"/>
        <charset val="129"/>
      </rPr>
      <t>ProductParameters</t>
    </r>
  </si>
  <si>
    <t>57·61·96</t>
  </si>
  <si>
    <t>TimeSeries</t>
  </si>
  <si>
    <t>V1.1.1</t>
  </si>
  <si>
    <r>
      <t>Metadata/Record/Time00</t>
    </r>
    <r>
      <rPr>
        <sz val="11"/>
        <color theme="1"/>
        <rFont val="맑은 고딕"/>
        <family val="2"/>
        <charset val="129"/>
        <scheme val="minor"/>
      </rPr>
      <t xml:space="preserve">, </t>
    </r>
    <r>
      <rPr>
        <sz val="10"/>
        <color theme="1"/>
        <rFont val="Arial Unicode MS"/>
        <family val="3"/>
        <charset val="129"/>
      </rPr>
      <t>Segments/InternalSegment</t>
    </r>
    <r>
      <rPr>
        <sz val="11"/>
        <color theme="1"/>
        <rFont val="맑은 고딕"/>
        <family val="2"/>
        <charset val="129"/>
        <scheme val="minor"/>
      </rPr>
      <t xml:space="preserve"> 및 </t>
    </r>
    <r>
      <rPr>
        <sz val="10"/>
        <color theme="1"/>
        <rFont val="Arial Unicode MS"/>
        <family val="3"/>
        <charset val="129"/>
      </rPr>
      <t>Records/Record/Time00</t>
    </r>
  </si>
  <si>
    <t>54·55·61·96</t>
  </si>
  <si>
    <t>ProcessVariablesForManufacturingKPICalculation</t>
  </si>
  <si>
    <r>
      <t xml:space="preserve">시간 변수의 </t>
    </r>
    <r>
      <rPr>
        <sz val="10"/>
        <color theme="1"/>
        <rFont val="Arial Unicode MS"/>
        <family val="3"/>
        <charset val="129"/>
      </rPr>
      <t>currentValue</t>
    </r>
    <r>
      <rPr>
        <sz val="11"/>
        <color theme="1"/>
        <rFont val="맑은 고딕"/>
        <family val="2"/>
        <charset val="129"/>
        <scheme val="minor"/>
      </rPr>
      <t>, 집계 기준·계산 관계, 변수별 경로 표제</t>
    </r>
  </si>
  <si>
    <t>56·61·96</t>
  </si>
  <si>
    <t>적용 버전</t>
    <phoneticPr fontId="2" type="noConversion"/>
  </si>
  <si>
    <t>TimeSeries의 Metadata/Record와 Segments/InternalSegment/Records/Record에 있는 상대시간 항목은 모두 Time00이며, 동일한 semanticId와 xs:long 자료형을 사용한다. SamplingInterval은 xs:long 값 1이며 문서에 1초 간격으로 설명되어 있다.</t>
    <phoneticPr fontId="2" type="noConversion"/>
  </si>
  <si>
    <t>공식 원본의 대응 요소를 대조하였으며, 대조 범위에서 추가 수정사항 없음.</t>
    <phoneticPr fontId="2" type="noConversion"/>
  </si>
  <si>
    <t>OrganizationShortName의 primary semanticId를 공식 원본 URL로 복원함. 대응 요소의 대조 차이를 해소함.</t>
    <phoneticPr fontId="2" type="noConversion"/>
  </si>
  <si>
    <t>상위 기술사양 그룹 5개의 공식 보조 식별자를 복원하고 자체 IRI는 별도 보조 참조로 유지함. 계획서·가이던스 표기를 정합화함.</t>
    <phoneticPr fontId="2" type="noConversion"/>
  </si>
  <si>
    <t>가압 중 도어 잠금 인터록 1개 기능으로 범위를 명시하고 기능명·범위·증빙 상태를 추가함. SIL·PL·PFH 등은 비인증 예시임을 명시함. 공식 원본의 대응 요소 및 확장 위치를 대조함.</t>
    <phoneticPr fontId="2" type="noConversion"/>
  </si>
  <si>
    <t>실제 Record 1건과 RecordCount=1 일치. 시작·종료 시각 동일. 양쪽 Time00의 semanticId·xs:long 일치. 목표 10,800건과 실제 1건을 구분함. 공식 원본의 대응 요소를 대조하고 실제 Record·RecordCount·시간축의 정합성을 확인함.</t>
    <phoneticPr fontId="2" type="noConversion"/>
  </si>
  <si>
    <t>반제품 원단의 식별자·명칭·500kg 투입량을 구성함. 약품 3종은 소모재로 분리하고 InputQuantity와 FabricLoad의 연결 설명을 추가함. 공식 원본의 대응 요소와 장비 특화 확장 구조를 대조함.</t>
    <phoneticPr fontId="2" type="noConversion"/>
  </si>
  <si>
    <t>AUPT=19시간18분, AUBT=19시간48분, AOET=20시간42분으로 정합화하고 계산식·집계 기준을 명시함. 공식 원본의 대응 요소와 시간 변수의 계산 관계를 대조함.</t>
    <phoneticPr fontId="2" type="noConversion"/>
  </si>
  <si>
    <t>AddressInformation은 참조된 ContactInformation 원본을 함께 대조함.</t>
    <phoneticPr fontId="2" type="noConversion"/>
  </si>
  <si>
    <t>실제 문서의 승인·배포 여부는 현장 적용 시 확인하며, 예시 상태 InReview와 구분함.</t>
    <phoneticPr fontId="2" type="noConversion"/>
  </si>
  <si>
    <t>장비 특화 확장 요소는 공식 템플릿 정의 요소와 구분하여 검토함.</t>
    <phoneticPr fontId="2" type="noConversion"/>
  </si>
  <si>
    <t>실제 안전성능 시험·인증은 수행하지 않았으며, 비인증 예시임.</t>
    <phoneticPr fontId="2" type="noConversion"/>
  </si>
  <si>
    <t>실제 배치·레시피·원료 데이터와의 연계 시험은 포함하지 않음.</t>
    <phoneticPr fontId="2" type="noConversion"/>
  </si>
  <si>
    <t xml:space="preserve">실제 3시간 연속 수집시험을 의미하지 않음. </t>
    <phoneticPr fontId="2" type="noConversion"/>
  </si>
  <si>
    <t>최상위 semanticId의 IRI 값은 동일하나 참조 표현 형식은 원본과 다름. 합성 예시의 산술 검토이며 실제 MES 운영 검증은 포함하지 않음.</t>
    <phoneticPr fontId="2" type="noConversion"/>
  </si>
  <si>
    <t>2026.10.27</t>
    <phoneticPr fontId="2" type="noConversion"/>
  </si>
  <si>
    <t>Documents/[0]/DocumentVersions/[0]/StatusValue/OrganizationShortName</t>
    <phoneticPr fontId="2" type="noConversion"/>
  </si>
  <si>
    <t>JetDyeingMachine_v0.0.2.aasx를 기준으로 개발계획서 및 활용 가이던스의 수정 내용을 대조하였다.
TimeSeries의 실제 수록 Record 수와 RecordCount는 모두 1이며, 시작·종료 시각이 일치한다. Metadata와 실제 Record의 상대시간 항목은 Time00으로 통일되어 있고, semanticId 및 xs:long 자료형이 일치한다. 목표 수집량 10,800건과 실제 수록 1건은 구분하여 설명하였다.
PVM 시간 예시값은 AUPT=19시간18분, AUBT=19시간48분, AOET=20시간42분이며, AUPT=APT+AUST, AUBT=AUPT+ADET, AOET=AUBT+AQT+ATT의 계산 관계를 확인하였다.
ProcessBoM에는 반제품 원단 식별정보와 투입량을 구성하고, 염료·분산제·pH 조정제는 ConsumableParameters로 분리하였다. 기능안전 예시의 적용 범위와 문서 상태 InReview를 확인하였으며, 개발계획서의 경로 표제 및 가이던스의 관련 설명을 모델과 대조하였다.적용한 공식 SMT 원본과 모델의 대응 요소를 대조하였다. HandoverDocumentation의 OrganizationShortName primary semanticId를 공식 원본 URL로 복원하였다. TechnicalData의 TechnicalPropertyAreas 하위 5개 그룹에는 공식 supplementalSemanticIds를 복원하고, 장비별 자체 IRI는 별도 보조 참조로 유지하였다. 관련 개발계획서 및 가이던스의 설명과 식별자 표기를 함께 수정하였다. embeddedDataSpecification의 XML 요소 순서를 정비하였으며, 수정본은 AAS 3.1 XML 스키마 검사를 통과하였다. 최종 대조 대상은 JetDyeingMachine_v0.0.2.aasx, 제트염색기_장비개발계획서_수정본.hwp, 제트염색기_가이던스_수정본.docx이다. 제트염색기 수정 요청 54~60번 및 96번의 반영 내용과 AASX·계획서·가이던스 간 내용 일치를 재확인하였다.</t>
    <phoneticPr fontId="2" type="noConversion"/>
  </si>
  <si>
    <t>최종 수정한 JetDyeingMachine_v0.0.2.aasx를 대상으로 AAS Validator 재검사를 수행하여 70 Passed / 0 Failed를 확인하였다. 검사 결과 HTML을 제출 자료에 포함하였다. 제출된 제트염색기_벨리데이터결과.html에서 검사 대상이 수정제출 폴더의 JetDyeingMachine_v0.0.2.aasx이며, 결과가 70 Passed / 0 Failed임을 확인하였다. 자동검사에서 제외된 공식 IDTA 서브모델 7종의 대조 내역은 본 시트 A9:F15에 별도로 기록하였다. HTML 본문에는 검사 실행일시가 표시되지 않는다.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</si>
</sst>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0"/>
      <color theme="0"/>
      <name val="맑은 고딕"/>
      <family val="3"/>
      <charset val="129"/>
      <scheme val="minor"/>
    </font>
    <font>
      <sz val="10"/>
      <color theme="1"/>
      <name val="맑은 고딕"/>
      <family val="3"/>
      <charset val="129"/>
      <scheme val="minor"/>
    </font>
    <font>
      <b/>
      <sz val="10"/>
      <color theme="1"/>
      <name val="맑은 고딕"/>
      <family val="3"/>
      <charset val="129"/>
      <scheme val="minor"/>
    </font>
    <font>
      <sz val="10"/>
      <color rgb="FF000000"/>
      <name val="맑은 고딕"/>
      <family val="3"/>
      <charset val="129"/>
      <scheme val="minor"/>
    </font>
    <font>
      <sz val="10"/>
      <color theme="1"/>
      <name val="Arial Unicode MS"/>
      <family val="3"/>
      <charset val="129"/>
    </font>
    <font>
      <sz val="10"/>
      <color theme="1"/>
      <name val="맑은 고딕"/>
      <family val="2"/>
      <charset val="129"/>
      <scheme val="minor"/>
    </font>
    <font>
      <b/>
      <sz val="14"/>
      <color theme="0"/>
      <name val="맑은 고딕"/>
      <family val="3"/>
      <charset val="129"/>
      <scheme val="minor"/>
    </font>
    <font>
      <sz val="10"/>
      <color theme="1"/>
      <name val="Wingdings"/>
      <family val="2"/>
      <charset val="2"/>
    </font>
    <font>
      <sz val="10"/>
      <color theme="1"/>
      <name val="맑은 고딕"/>
      <family val="3"/>
      <charset val="129"/>
    </font>
    <font>
      <sz val="11"/>
      <color rgb="FF00B050"/>
      <name val="맑은 고딕"/>
      <family val="3"/>
      <charset val="129"/>
      <scheme val="minor"/>
    </font>
    <font>
      <strike/>
      <sz val="10"/>
      <color rgb="FF00B050"/>
      <name val="맑은 고딕"/>
      <family val="3"/>
      <charset val="129"/>
      <scheme val="minor"/>
    </font>
    <font>
      <strike/>
      <sz val="11"/>
      <color rgb="FF00B050"/>
      <name val="맑은 고딕"/>
      <family val="3"/>
      <charset val="129"/>
      <scheme val="minor"/>
    </font>
    <font>
      <sz val="11"/>
      <name val="맑은 고딕"/>
      <family val="3"/>
      <charset val="129"/>
      <scheme val="minor"/>
    </font>
    <font>
      <b/>
      <sz val="11"/>
      <color theme="1"/>
      <name val="맑은 고딕"/>
      <family val="3"/>
      <charset val="129"/>
      <scheme val="minor"/>
    </font>
    <font>
      <b/>
      <sz val="16"/>
      <color theme="0"/>
      <name val="맑은 고딕"/>
      <family val="3"/>
      <charset val="129"/>
      <scheme val="minor"/>
    </font>
    <font>
      <sz val="10"/>
      <color theme="1"/>
      <name val="맑은 고딕"/>
      <family val="3"/>
      <charset val="129"/>
      <scheme val="major"/>
    </font>
    <font>
      <u/>
      <sz val="10"/>
      <color theme="1"/>
      <name val="맑은 고딕"/>
      <family val="3"/>
      <charset val="129"/>
    </font>
    <font>
      <u/>
      <sz val="10"/>
      <color theme="1"/>
      <name val="맑은 고딕"/>
      <family val="3"/>
      <charset val="129"/>
      <scheme val="minor"/>
    </font>
    <font>
      <b/>
      <sz val="10"/>
      <color theme="1"/>
      <name val="Arial Unicode MS"/>
      <family val="3"/>
      <charset val="129"/>
    </font>
    <font>
      <b/>
      <sz val="10"/>
      <color rgb="FF0070C0"/>
      <name val="맑은 고딕"/>
      <family val="3"/>
      <charset val="129"/>
      <scheme val="minor"/>
    </font>
    <font>
      <sz val="10"/>
      <color theme="1"/>
      <name val="맑은 고딕"/>
      <family val="2"/>
      <charset val="129"/>
    </font>
    <font>
      <b/>
      <sz val="10"/>
      <color rgb="FF0070C0"/>
      <name val="맑은 고딕"/>
      <family val="2"/>
      <charset val="129"/>
      <scheme val="minor"/>
    </font>
    <font>
      <b/>
      <strike/>
      <sz val="10"/>
      <color theme="1"/>
      <name val="맑은 고딕"/>
      <family val="3"/>
      <charset val="129"/>
      <scheme val="minor"/>
    </font>
    <font>
      <b/>
      <sz val="10"/>
      <color theme="1"/>
      <name val="맑은 고딕"/>
      <family val="3"/>
      <charset val="129"/>
    </font>
    <font>
      <b/>
      <sz val="10"/>
      <color rgb="FFFF0000"/>
      <name val="맑은 고딕"/>
      <family val="3"/>
      <charset val="129"/>
    </font>
    <font>
      <b/>
      <sz val="10"/>
      <color rgb="FFFF0000"/>
      <name val="맑은 고딕"/>
      <family val="2"/>
      <charset val="129"/>
    </font>
    <font>
      <sz val="10"/>
      <color rgb="FFFF0000"/>
      <name val="맑은 고딕"/>
      <family val="3"/>
      <charset val="129"/>
    </font>
  </fonts>
  <fills count="7">
    <fill>
      <patternFill patternType="none"/>
    </fill>
    <fill>
      <patternFill patternType="gray125"/>
    </fill>
    <fill>
      <patternFill patternType="solid">
        <fgColor rgb="FFFFFFCC"/>
      </patternFill>
    </fill>
    <fill>
      <patternFill patternType="solid">
        <fgColor rgb="FF0000FF"/>
        <bgColor indexed="64"/>
      </patternFill>
    </fill>
    <fill>
      <patternFill patternType="solid">
        <fgColor rgb="FFC0CCFF"/>
        <bgColor indexed="64"/>
      </patternFill>
    </fill>
    <fill>
      <patternFill patternType="solid">
        <fgColor theme="0" tint="-0.14999847407452621"/>
        <bgColor indexed="64"/>
      </patternFill>
    </fill>
    <fill>
      <patternFill patternType="solid">
        <fgColor rgb="FFFFFFCC"/>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1" fillId="2" borderId="1" applyNumberFormat="0" applyFont="0" applyAlignment="0" applyProtection="0">
      <alignment vertical="center"/>
    </xf>
  </cellStyleXfs>
  <cellXfs count="90">
    <xf numFmtId="0" fontId="0" fillId="0" borderId="0" xfId="0">
      <alignment vertical="center"/>
    </xf>
    <xf numFmtId="0" fontId="5" fillId="4" borderId="2" xfId="0" applyFont="1" applyFill="1" applyBorder="1" applyAlignment="1">
      <alignment horizontal="center" vertical="center"/>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2" xfId="0" quotePrefix="1" applyFont="1" applyBorder="1" applyAlignment="1">
      <alignment horizontal="center" vertical="center"/>
    </xf>
    <xf numFmtId="0" fontId="4" fillId="0" borderId="2" xfId="0" applyFont="1" applyBorder="1" applyAlignment="1">
      <alignment horizontal="left" vertical="center" wrapText="1"/>
    </xf>
    <xf numFmtId="0" fontId="6" fillId="0" borderId="2" xfId="0" applyFont="1" applyBorder="1" applyAlignment="1">
      <alignment horizontal="left" vertical="center" wrapText="1"/>
    </xf>
    <xf numFmtId="0" fontId="4" fillId="0" borderId="0" xfId="0" applyFont="1">
      <alignment vertical="center"/>
    </xf>
    <xf numFmtId="0" fontId="5" fillId="0" borderId="2" xfId="0" applyFont="1" applyBorder="1" applyAlignment="1">
      <alignment horizontal="center" vertical="center"/>
    </xf>
    <xf numFmtId="0" fontId="4"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0" xfId="0" applyFont="1">
      <alignment vertical="center"/>
    </xf>
    <xf numFmtId="0" fontId="3" fillId="0" borderId="0" xfId="0" applyFont="1">
      <alignment vertical="center"/>
    </xf>
    <xf numFmtId="0" fontId="8" fillId="2" borderId="2" xfId="1" applyFont="1" applyBorder="1" applyAlignment="1">
      <alignment horizontal="center" vertical="center"/>
    </xf>
    <xf numFmtId="0" fontId="8" fillId="2" borderId="2" xfId="1" quotePrefix="1" applyFont="1" applyBorder="1" applyAlignment="1">
      <alignment horizontal="center" vertical="center"/>
    </xf>
    <xf numFmtId="0" fontId="8" fillId="2" borderId="2" xfId="1" quotePrefix="1" applyFont="1" applyBorder="1" applyAlignment="1">
      <alignment horizontal="center" vertical="center" wrapText="1"/>
    </xf>
    <xf numFmtId="0" fontId="4"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quotePrefix="1" applyFont="1" applyBorder="1" applyAlignment="1">
      <alignment horizontal="center" vertical="center" wrapText="1"/>
      <extLst>
        <ext xmlns:xfpb="http://schemas.microsoft.com/office/spreadsheetml/2022/featurepropertybag" uri="{C7286773-470A-42A8-94C5-96B5CB345126}">
          <xfpb:xfComplement i="0"/>
        </ext>
      </extLst>
    </xf>
    <xf numFmtId="0" fontId="7" fillId="0" borderId="0" xfId="0" applyFont="1">
      <alignment vertical="center"/>
    </xf>
    <xf numFmtId="0" fontId="0" fillId="0" borderId="0" xfId="0" applyAlignment="1">
      <alignment vertical="center" wrapText="1"/>
    </xf>
    <xf numFmtId="0" fontId="11" fillId="0" borderId="0" xfId="0" quotePrefix="1" applyFont="1" applyAlignment="1">
      <alignment vertical="center" wrapText="1"/>
    </xf>
    <xf numFmtId="0" fontId="8" fillId="0" borderId="0" xfId="0" applyFont="1" applyAlignment="1">
      <alignment vertical="center" wrapText="1"/>
    </xf>
    <xf numFmtId="0" fontId="8" fillId="0" borderId="0" xfId="0" quotePrefix="1" applyFont="1" applyAlignment="1">
      <alignment vertical="center" wrapText="1"/>
    </xf>
    <xf numFmtId="0" fontId="0" fillId="0" borderId="0" xfId="0" applyAlignment="1">
      <alignment horizontal="center" vertical="center"/>
    </xf>
    <xf numFmtId="0" fontId="12" fillId="0" borderId="0" xfId="0" applyFont="1">
      <alignment vertical="center"/>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center" vertical="center"/>
    </xf>
    <xf numFmtId="0" fontId="8" fillId="0" borderId="0" xfId="0" applyFont="1" applyAlignment="1">
      <alignment horizontal="center" vertical="center" wrapText="1"/>
    </xf>
    <xf numFmtId="0" fontId="16" fillId="4" borderId="2" xfId="0" applyFont="1" applyFill="1" applyBorder="1" applyAlignment="1">
      <alignment horizontal="center" vertical="center"/>
    </xf>
    <xf numFmtId="0" fontId="4" fillId="0" borderId="2" xfId="0" quotePrefix="1" applyFont="1" applyBorder="1" applyAlignment="1">
      <alignment horizontal="left" vertical="center" wrapText="1"/>
    </xf>
    <xf numFmtId="0" fontId="3" fillId="0" borderId="0" xfId="0" applyFont="1" applyAlignment="1">
      <alignment vertical="center" wrapText="1"/>
    </xf>
    <xf numFmtId="0" fontId="10" fillId="0" borderId="0" xfId="0" applyFont="1">
      <alignment vertical="center"/>
    </xf>
    <xf numFmtId="0" fontId="18" fillId="0" borderId="2" xfId="0" applyFont="1" applyBorder="1" applyAlignment="1">
      <alignment horizontal="center" vertical="center"/>
    </xf>
    <xf numFmtId="0" fontId="18" fillId="6" borderId="2" xfId="0" applyFont="1" applyFill="1" applyBorder="1" applyAlignment="1">
      <alignment horizontal="center" vertical="center"/>
    </xf>
    <xf numFmtId="0" fontId="4" fillId="0" borderId="2" xfId="0" applyFont="1" applyBorder="1">
      <alignment vertical="center"/>
    </xf>
    <xf numFmtId="0" fontId="4" fillId="0" borderId="2" xfId="0" applyFont="1" applyBorder="1" applyAlignment="1">
      <alignment horizontal="left" vertical="center"/>
    </xf>
    <xf numFmtId="0" fontId="5" fillId="0" borderId="2" xfId="0" quotePrefix="1" applyFont="1" applyBorder="1" applyAlignment="1">
      <alignment horizontal="center" vertical="center"/>
    </xf>
    <xf numFmtId="0" fontId="4" fillId="0" borderId="2" xfId="0" applyFont="1" applyBorder="1" applyAlignment="1">
      <alignment vertical="center" wrapText="1"/>
    </xf>
    <xf numFmtId="0" fontId="8"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21" fillId="0" borderId="2" xfId="0" applyFont="1" applyBorder="1" applyAlignment="1">
      <alignment horizontal="center" vertical="center"/>
    </xf>
    <xf numFmtId="0" fontId="22" fillId="0" borderId="2" xfId="0" applyFont="1" applyBorder="1" applyAlignment="1">
      <alignment horizontal="left" vertical="center" wrapText="1"/>
    </xf>
    <xf numFmtId="0" fontId="5" fillId="0" borderId="2" xfId="0" applyFont="1" applyBorder="1" applyAlignment="1">
      <alignment horizontal="center" vertical="center" wrapText="1"/>
    </xf>
    <xf numFmtId="0" fontId="11" fillId="0" borderId="2" xfId="0" applyFont="1" applyBorder="1" applyAlignment="1">
      <alignment horizontal="left" vertical="center" wrapText="1"/>
    </xf>
    <xf numFmtId="0" fontId="5"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27" fillId="0" borderId="2" xfId="0" applyFont="1" applyBorder="1" applyAlignment="1">
      <alignment horizontal="left" vertical="center" wrapText="1"/>
    </xf>
    <xf numFmtId="0" fontId="16" fillId="0" borderId="0" xfId="0" applyFont="1" applyAlignment="1">
      <alignment horizontal="center" vertical="center" wrapText="1"/>
    </xf>
    <xf numFmtId="0" fontId="0" fillId="0" borderId="2" xfId="0" applyBorder="1" applyAlignment="1">
      <alignment vertical="center" wrapText="1"/>
    </xf>
    <xf numFmtId="0" fontId="7" fillId="0" borderId="2" xfId="0" applyFont="1" applyBorder="1" applyAlignment="1">
      <alignment vertical="center" wrapText="1"/>
    </xf>
    <xf numFmtId="0" fontId="16" fillId="4" borderId="2" xfId="0" applyFont="1" applyFill="1"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left" vertical="center" wrapText="1"/>
    </xf>
    <xf numFmtId="0" fontId="0" fillId="0" borderId="2" xfId="0" quotePrefix="1" applyBorder="1" applyAlignment="1">
      <alignment horizontal="left" vertical="center" wrapText="1"/>
    </xf>
    <xf numFmtId="0" fontId="0" fillId="0" borderId="2" xfId="0" applyBorder="1" applyAlignment="1">
      <alignment horizontal="left" vertical="center"/>
    </xf>
    <xf numFmtId="0" fontId="17" fillId="3" borderId="2" xfId="0" applyFont="1" applyFill="1" applyBorder="1" applyAlignment="1">
      <alignment horizontal="center" vertical="center"/>
    </xf>
    <xf numFmtId="0" fontId="0" fillId="3" borderId="2" xfId="0" applyFill="1" applyBorder="1" applyAlignment="1">
      <alignment horizontal="center" vertical="center"/>
    </xf>
    <xf numFmtId="0" fontId="16" fillId="4" borderId="2"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6" fillId="4" borderId="3" xfId="0" applyFont="1" applyFill="1" applyBorder="1" applyAlignment="1">
      <alignment horizontal="center" vertical="center"/>
    </xf>
    <xf numFmtId="0" fontId="0" fillId="4" borderId="5" xfId="0" applyFill="1" applyBorder="1" applyAlignment="1">
      <alignment horizontal="center" vertical="center"/>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5"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0" borderId="6" xfId="0" quotePrefix="1"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49" fontId="4" fillId="0" borderId="6" xfId="0" quotePrefix="1" applyNumberFormat="1" applyFont="1" applyBorder="1" applyAlignment="1">
      <alignment horizontal="left" vertical="center" wrapText="1"/>
    </xf>
    <xf numFmtId="49" fontId="4" fillId="0" borderId="7" xfId="0" quotePrefix="1" applyNumberFormat="1" applyFont="1" applyBorder="1" applyAlignment="1">
      <alignment horizontal="left" vertical="center"/>
    </xf>
    <xf numFmtId="49" fontId="4" fillId="0" borderId="8" xfId="0" quotePrefix="1" applyNumberFormat="1" applyFont="1" applyBorder="1" applyAlignment="1">
      <alignment horizontal="left" vertical="center"/>
    </xf>
    <xf numFmtId="0" fontId="5" fillId="5" borderId="3"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8" fillId="0" borderId="0" xfId="0" applyFont="1" applyAlignment="1">
      <alignment horizontal="center" vertical="center"/>
    </xf>
    <xf numFmtId="0" fontId="9" fillId="3" borderId="9" xfId="0" applyFont="1" applyFill="1" applyBorder="1" applyAlignment="1">
      <alignment horizontal="center" vertical="center"/>
    </xf>
    <xf numFmtId="0" fontId="9" fillId="3" borderId="0" xfId="0" applyFont="1" applyFill="1" applyAlignment="1">
      <alignment horizontal="center" vertical="center"/>
    </xf>
    <xf numFmtId="0" fontId="5" fillId="4" borderId="2" xfId="0" applyFont="1" applyFill="1" applyBorder="1" applyAlignment="1">
      <alignment horizontal="center" vertical="center"/>
    </xf>
    <xf numFmtId="0" fontId="8" fillId="0" borderId="2" xfId="0" applyFont="1" applyBorder="1" applyAlignment="1">
      <alignment horizontal="center" vertical="center"/>
    </xf>
    <xf numFmtId="0" fontId="5" fillId="5" borderId="2" xfId="0" quotePrefix="1" applyFont="1" applyFill="1" applyBorder="1" applyAlignment="1">
      <alignment horizontal="center" vertical="center"/>
    </xf>
    <xf numFmtId="0" fontId="10"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8" fillId="0" borderId="2" xfId="0" applyFont="1" applyBorder="1" applyAlignment="1">
      <alignment horizontal="center" vertical="center"/>
      <extLst>
        <ext xmlns:xfpb="http://schemas.microsoft.com/office/spreadsheetml/2022/featurepropertybag" uri="{C7286773-470A-42A8-94C5-96B5CB345126}">
          <xfpb:xfComplement i="0"/>
        </ext>
      </extLst>
    </xf>
  </cellXfs>
  <cellStyles count="2">
    <cellStyle name="메모" xfId="1" builtinId="10"/>
    <cellStyle name="표준" xfId="0" builtinId="0"/>
  </cellStyles>
  <dxfs count="0"/>
  <tableStyles count="0" defaultTableStyle="TableStyleMedium2" defaultPivotStyle="PivotStyleLight16"/>
  <colors>
    <mruColors>
      <color rgb="FFC0CCFF"/>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142257</xdr:colOff>
      <xdr:row>5</xdr:row>
      <xdr:rowOff>847723</xdr:rowOff>
    </xdr:from>
    <xdr:to>
      <xdr:col>3</xdr:col>
      <xdr:colOff>4843457</xdr:colOff>
      <xdr:row>5</xdr:row>
      <xdr:rowOff>2487133</xdr:rowOff>
    </xdr:to>
    <xdr:pic>
      <xdr:nvPicPr>
        <xdr:cNvPr id="2" name="그림 1">
          <a:extLst>
            <a:ext uri="{FF2B5EF4-FFF2-40B4-BE49-F238E27FC236}">
              <a16:creationId xmlns:a16="http://schemas.microsoft.com/office/drawing/2014/main" id="{8B3DE338-BA9A-CF6E-3740-972146C21651}"/>
            </a:ext>
          </a:extLst>
        </xdr:cNvPr>
        <xdr:cNvPicPr>
          <a:picLocks noChangeAspect="1"/>
        </xdr:cNvPicPr>
      </xdr:nvPicPr>
      <xdr:blipFill>
        <a:blip xmlns:r="http://schemas.openxmlformats.org/officeDocument/2006/relationships" r:embed="rId1"/>
        <a:stretch>
          <a:fillRect/>
        </a:stretch>
      </xdr:blipFill>
      <xdr:spPr>
        <a:xfrm>
          <a:off x="8102436" y="3528330"/>
          <a:ext cx="4701200" cy="163941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B537-142C-4256-9234-CE27C21F9048}">
  <sheetPr codeName="Sheet1"/>
  <dimension ref="A1:F16"/>
  <sheetViews>
    <sheetView topLeftCell="A6" zoomScale="140" zoomScaleNormal="140" workbookViewId="0">
      <selection activeCell="C10" sqref="C10"/>
    </sheetView>
  </sheetViews>
  <sheetFormatPr defaultColWidth="8.875" defaultRowHeight="16.5"/>
  <cols>
    <col min="1" max="1" width="15.5" style="8" customWidth="1"/>
    <col min="2" max="2" width="26.5" style="8" bestFit="1" customWidth="1"/>
    <col min="3" max="3" width="62.5" style="8" customWidth="1"/>
    <col min="4" max="4" width="65" style="8" customWidth="1"/>
    <col min="5" max="5" width="8.875" customWidth="1"/>
    <col min="6" max="6" width="8.875" style="20" customWidth="1"/>
  </cols>
  <sheetData>
    <row r="1" spans="1:6" ht="20.25">
      <c r="A1" s="64" t="s">
        <v>39</v>
      </c>
      <c r="B1" s="65"/>
      <c r="C1" s="65"/>
      <c r="D1" s="66"/>
    </row>
    <row r="2" spans="1:6">
      <c r="A2" s="1" t="s">
        <v>3</v>
      </c>
      <c r="B2" s="1" t="s">
        <v>27</v>
      </c>
      <c r="C2" s="2" t="s">
        <v>1</v>
      </c>
      <c r="D2" s="1" t="s">
        <v>2</v>
      </c>
    </row>
    <row r="3" spans="1:6" ht="44.25" customHeight="1">
      <c r="A3" s="71" t="s">
        <v>0</v>
      </c>
      <c r="B3" s="69" t="s">
        <v>84</v>
      </c>
      <c r="C3" s="70"/>
      <c r="D3" s="43" t="e" vm="1">
        <v>#VALUE!</v>
      </c>
    </row>
    <row r="4" spans="1:6" ht="51" customHeight="1">
      <c r="A4" s="72"/>
      <c r="B4" s="4" t="s">
        <v>14</v>
      </c>
      <c r="C4" s="6" t="s">
        <v>40</v>
      </c>
      <c r="D4" s="9"/>
    </row>
    <row r="5" spans="1:6" ht="78" customHeight="1">
      <c r="A5" s="72"/>
      <c r="B5" s="10" t="s">
        <v>28</v>
      </c>
      <c r="C5" s="6" t="s">
        <v>75</v>
      </c>
      <c r="D5" s="9"/>
    </row>
    <row r="6" spans="1:6" ht="283.5">
      <c r="A6" s="72"/>
      <c r="B6" s="4" t="s">
        <v>29</v>
      </c>
      <c r="C6" s="6" t="s">
        <v>101</v>
      </c>
      <c r="D6" s="4"/>
      <c r="F6" s="21"/>
    </row>
    <row r="7" spans="1:6" ht="182.45" customHeight="1">
      <c r="A7" s="73"/>
      <c r="B7" s="9" t="s">
        <v>88</v>
      </c>
      <c r="C7" s="42" t="s">
        <v>102</v>
      </c>
      <c r="D7" s="11" t="e" vm="2">
        <v>#VALUE!</v>
      </c>
      <c r="F7" s="21"/>
    </row>
    <row r="8" spans="1:6" ht="94.5">
      <c r="A8" s="67" t="s">
        <v>59</v>
      </c>
      <c r="B8" s="4" t="s">
        <v>11</v>
      </c>
      <c r="C8" s="7" t="s">
        <v>103</v>
      </c>
      <c r="D8" s="4"/>
    </row>
    <row r="9" spans="1:6" ht="61.5" customHeight="1">
      <c r="A9" s="68"/>
      <c r="B9" s="4" t="s">
        <v>13</v>
      </c>
      <c r="C9" s="6" t="s">
        <v>74</v>
      </c>
      <c r="D9" s="4"/>
    </row>
    <row r="10" spans="1:6" ht="94.5">
      <c r="A10" s="68"/>
      <c r="B10" s="4" t="s">
        <v>16</v>
      </c>
      <c r="C10" s="44" t="s">
        <v>89</v>
      </c>
      <c r="D10" s="4"/>
    </row>
    <row r="11" spans="1:6" ht="243">
      <c r="A11" s="68"/>
      <c r="B11" s="4" t="s">
        <v>69</v>
      </c>
      <c r="C11" s="39" t="s">
        <v>90</v>
      </c>
      <c r="D11" s="4"/>
    </row>
    <row r="16" spans="1:6">
      <c r="B16"/>
    </row>
  </sheetData>
  <mergeCells count="4">
    <mergeCell ref="A1:D1"/>
    <mergeCell ref="A8:A11"/>
    <mergeCell ref="B3:C3"/>
    <mergeCell ref="A3:A7"/>
  </mergeCells>
  <phoneticPr fontId="2"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1D97-18C1-4F89-9679-A4237428C2F2}">
  <sheetPr codeName="Sheet2"/>
  <dimension ref="A1:K29"/>
  <sheetViews>
    <sheetView showGridLines="0" topLeftCell="F17" zoomScale="115" zoomScaleNormal="115" workbookViewId="0">
      <selection activeCell="G19" sqref="G19"/>
    </sheetView>
  </sheetViews>
  <sheetFormatPr defaultColWidth="8.875" defaultRowHeight="16.5"/>
  <cols>
    <col min="1" max="1" width="17.5" style="13" bestFit="1" customWidth="1"/>
    <col min="2" max="2" width="4.5" style="13" bestFit="1" customWidth="1"/>
    <col min="3" max="3" width="6.375" style="13" bestFit="1" customWidth="1"/>
    <col min="4" max="4" width="26.5" style="13" bestFit="1" customWidth="1"/>
    <col min="5" max="5" width="71.375" style="13" customWidth="1"/>
    <col min="6" max="6" width="10" style="13" customWidth="1"/>
    <col min="7" max="7" width="75.5" style="32" customWidth="1"/>
    <col min="8" max="8" width="24" customWidth="1"/>
    <col min="9" max="9" width="107.375" style="22" customWidth="1"/>
    <col min="10" max="10" width="13" style="24" customWidth="1"/>
    <col min="11" max="11" width="39.5" customWidth="1"/>
  </cols>
  <sheetData>
    <row r="1" spans="1:11" ht="20.25">
      <c r="A1" s="64" t="s">
        <v>83</v>
      </c>
      <c r="B1" s="65"/>
      <c r="C1" s="65"/>
      <c r="D1" s="65"/>
      <c r="E1" s="65"/>
      <c r="F1" s="65"/>
      <c r="G1" s="66"/>
      <c r="I1" s="29"/>
      <c r="K1" s="24"/>
    </row>
    <row r="2" spans="1:11">
      <c r="A2" s="1" t="s">
        <v>3</v>
      </c>
      <c r="B2" s="1" t="s">
        <v>4</v>
      </c>
      <c r="C2" s="1" t="s">
        <v>5</v>
      </c>
      <c r="D2" s="1" t="s">
        <v>6</v>
      </c>
      <c r="E2" s="2" t="s">
        <v>1</v>
      </c>
      <c r="F2" s="2" t="s">
        <v>7</v>
      </c>
      <c r="G2" s="2" t="s">
        <v>58</v>
      </c>
      <c r="K2" s="25"/>
    </row>
    <row r="3" spans="1:11" ht="27">
      <c r="A3" s="3" t="s">
        <v>8</v>
      </c>
      <c r="B3" s="4">
        <v>1</v>
      </c>
      <c r="C3" s="4" t="s">
        <v>9</v>
      </c>
      <c r="D3" s="4" t="s">
        <v>10</v>
      </c>
      <c r="E3" s="47" t="s">
        <v>91</v>
      </c>
      <c r="F3" s="17" t="b">
        <v>1</v>
      </c>
      <c r="G3" s="36" t="s">
        <v>104</v>
      </c>
      <c r="K3" s="25"/>
    </row>
    <row r="4" spans="1:11" ht="24" customHeight="1">
      <c r="A4" s="71" t="s">
        <v>76</v>
      </c>
      <c r="B4" s="9">
        <v>2</v>
      </c>
      <c r="C4" s="9" t="s">
        <v>9</v>
      </c>
      <c r="D4" s="9" t="s">
        <v>11</v>
      </c>
      <c r="E4" s="45" t="s">
        <v>12</v>
      </c>
      <c r="F4" s="17" t="b">
        <v>1</v>
      </c>
      <c r="G4" s="36" t="s">
        <v>105</v>
      </c>
      <c r="K4" s="25"/>
    </row>
    <row r="5" spans="1:11" ht="67.5">
      <c r="A5" s="73"/>
      <c r="B5" s="9">
        <v>3</v>
      </c>
      <c r="C5" s="9" t="s">
        <v>9</v>
      </c>
      <c r="D5" s="9" t="s">
        <v>55</v>
      </c>
      <c r="E5" s="45" t="s">
        <v>95</v>
      </c>
      <c r="F5" s="17" t="b">
        <v>1</v>
      </c>
      <c r="G5" s="36" t="s">
        <v>106</v>
      </c>
      <c r="K5" s="25"/>
    </row>
    <row r="6" spans="1:11" ht="54">
      <c r="A6" s="71" t="s">
        <v>60</v>
      </c>
      <c r="B6" s="4">
        <v>4</v>
      </c>
      <c r="C6" s="4" t="s">
        <v>9</v>
      </c>
      <c r="D6" s="4" t="s">
        <v>13</v>
      </c>
      <c r="E6" s="6" t="s">
        <v>96</v>
      </c>
      <c r="F6" s="17" t="b">
        <v>1</v>
      </c>
      <c r="G6" t="s">
        <v>107</v>
      </c>
      <c r="K6" s="25"/>
    </row>
    <row r="7" spans="1:11" ht="54">
      <c r="A7" s="72"/>
      <c r="B7" s="5">
        <v>5</v>
      </c>
      <c r="C7" s="4" t="s">
        <v>9</v>
      </c>
      <c r="D7" s="4" t="s">
        <v>17</v>
      </c>
      <c r="E7" s="6" t="s">
        <v>92</v>
      </c>
      <c r="F7" s="17" t="b">
        <v>1</v>
      </c>
      <c r="G7" t="s">
        <v>108</v>
      </c>
      <c r="K7" s="25"/>
    </row>
    <row r="8" spans="1:11" ht="24.95" customHeight="1">
      <c r="A8" s="72"/>
      <c r="B8" s="4">
        <v>6</v>
      </c>
      <c r="C8" s="4" t="s">
        <v>15</v>
      </c>
      <c r="D8" s="4" t="s">
        <v>18</v>
      </c>
      <c r="E8" s="6" t="s">
        <v>19</v>
      </c>
      <c r="F8" s="17" t="b">
        <v>1</v>
      </c>
      <c r="G8" t="s">
        <v>109</v>
      </c>
      <c r="K8" s="25"/>
    </row>
    <row r="9" spans="1:11" ht="24.95" customHeight="1">
      <c r="A9" s="73"/>
      <c r="B9" s="4">
        <v>7</v>
      </c>
      <c r="C9" s="4" t="s">
        <v>9</v>
      </c>
      <c r="D9" s="4" t="s">
        <v>20</v>
      </c>
      <c r="E9" s="31" t="s">
        <v>56</v>
      </c>
      <c r="F9" s="18" t="b">
        <v>1</v>
      </c>
      <c r="G9" t="s">
        <v>110</v>
      </c>
      <c r="K9" s="25"/>
    </row>
    <row r="10" spans="1:11" ht="33.950000000000003" customHeight="1">
      <c r="A10" s="71" t="s">
        <v>21</v>
      </c>
      <c r="B10" s="9">
        <v>8</v>
      </c>
      <c r="C10" s="9" t="s">
        <v>9</v>
      </c>
      <c r="D10" s="9" t="s">
        <v>77</v>
      </c>
      <c r="E10" s="46" t="s">
        <v>78</v>
      </c>
      <c r="F10" s="18" t="b">
        <v>1</v>
      </c>
      <c r="G10" t="s">
        <v>111</v>
      </c>
      <c r="K10" s="25"/>
    </row>
    <row r="11" spans="1:11" ht="54">
      <c r="A11" s="72"/>
      <c r="B11" s="4">
        <v>9</v>
      </c>
      <c r="C11" s="4" t="s">
        <v>9</v>
      </c>
      <c r="D11" s="4" t="s">
        <v>13</v>
      </c>
      <c r="E11" s="6" t="s">
        <v>96</v>
      </c>
      <c r="F11" s="17" t="b">
        <v>1</v>
      </c>
      <c r="G11" t="s">
        <v>112</v>
      </c>
      <c r="K11" s="27"/>
    </row>
    <row r="12" spans="1:11" ht="27">
      <c r="A12" s="72"/>
      <c r="B12" s="5">
        <v>10</v>
      </c>
      <c r="C12" s="4" t="s">
        <v>9</v>
      </c>
      <c r="D12" s="4" t="s">
        <v>22</v>
      </c>
      <c r="E12" s="6" t="s">
        <v>54</v>
      </c>
      <c r="F12" s="17" t="b">
        <v>1</v>
      </c>
      <c r="G12" t="s">
        <v>113</v>
      </c>
      <c r="I12" s="23"/>
      <c r="J12" s="28"/>
      <c r="K12" s="25"/>
    </row>
    <row r="13" spans="1:11" ht="24.95" customHeight="1">
      <c r="A13" s="72"/>
      <c r="B13" s="4">
        <v>11</v>
      </c>
      <c r="C13" s="4" t="s">
        <v>9</v>
      </c>
      <c r="D13" s="4" t="s">
        <v>23</v>
      </c>
      <c r="E13" s="31" t="s">
        <v>57</v>
      </c>
      <c r="F13" s="18" t="b">
        <v>1</v>
      </c>
      <c r="G13" t="s">
        <v>114</v>
      </c>
      <c r="K13" s="25"/>
    </row>
    <row r="14" spans="1:11" ht="129.94999999999999" customHeight="1">
      <c r="A14" s="73"/>
      <c r="B14" s="9">
        <v>12</v>
      </c>
      <c r="C14" s="9" t="s">
        <v>15</v>
      </c>
      <c r="D14" s="9" t="s">
        <v>79</v>
      </c>
      <c r="E14" s="46" t="s">
        <v>97</v>
      </c>
      <c r="F14" s="18" t="b">
        <v>1</v>
      </c>
      <c r="G14" t="s">
        <v>115</v>
      </c>
      <c r="K14" s="25"/>
    </row>
    <row r="15" spans="1:11" ht="27">
      <c r="A15" s="80" t="s">
        <v>85</v>
      </c>
      <c r="B15" s="9">
        <v>13</v>
      </c>
      <c r="C15" s="9" t="s">
        <v>15</v>
      </c>
      <c r="D15" s="43" t="s">
        <v>82</v>
      </c>
      <c r="E15" s="45" t="s">
        <v>98</v>
      </c>
      <c r="F15" s="18" t="b">
        <v>1</v>
      </c>
      <c r="G15" s="37" t="s">
        <v>116</v>
      </c>
      <c r="K15" s="25"/>
    </row>
    <row r="16" spans="1:11" ht="26.1" customHeight="1">
      <c r="A16" s="81"/>
      <c r="B16" s="4">
        <v>14</v>
      </c>
      <c r="C16" s="4" t="s">
        <v>9</v>
      </c>
      <c r="D16" s="4" t="s">
        <v>80</v>
      </c>
      <c r="E16" s="6" t="s">
        <v>87</v>
      </c>
      <c r="F16" s="18" t="b">
        <v>1</v>
      </c>
      <c r="G16" t="s">
        <v>117</v>
      </c>
      <c r="K16" s="25"/>
    </row>
    <row r="17" spans="1:11" ht="53.1" customHeight="1">
      <c r="A17" s="80" t="s">
        <v>86</v>
      </c>
      <c r="B17" s="9">
        <v>15</v>
      </c>
      <c r="C17" s="9" t="s">
        <v>9</v>
      </c>
      <c r="D17" s="9" t="s">
        <v>24</v>
      </c>
      <c r="E17" s="45" t="s">
        <v>99</v>
      </c>
      <c r="F17" s="17" t="b">
        <v>1</v>
      </c>
      <c r="G17" t="s">
        <v>118</v>
      </c>
      <c r="K17" s="25"/>
    </row>
    <row r="18" spans="1:11" ht="36.950000000000003" customHeight="1">
      <c r="A18" s="81"/>
      <c r="B18" s="5">
        <v>16</v>
      </c>
      <c r="C18" s="4" t="s">
        <v>9</v>
      </c>
      <c r="D18" s="10" t="s">
        <v>81</v>
      </c>
      <c r="E18" s="6" t="s">
        <v>72</v>
      </c>
      <c r="F18" s="40" t="b">
        <v>1</v>
      </c>
      <c r="G18" t="s">
        <v>154</v>
      </c>
      <c r="K18" s="25"/>
    </row>
    <row r="19" spans="1:11" ht="69" customHeight="1">
      <c r="A19" s="71" t="s">
        <v>25</v>
      </c>
      <c r="B19" s="5">
        <v>17</v>
      </c>
      <c r="C19" s="4" t="s">
        <v>9</v>
      </c>
      <c r="D19" s="4" t="s">
        <v>13</v>
      </c>
      <c r="E19" s="6" t="s">
        <v>94</v>
      </c>
      <c r="F19" s="17" t="b">
        <v>1</v>
      </c>
      <c r="G19" t="s">
        <v>119</v>
      </c>
      <c r="K19" s="25"/>
    </row>
    <row r="20" spans="1:11" ht="53.1" customHeight="1">
      <c r="A20" s="72"/>
      <c r="B20" s="4">
        <v>18</v>
      </c>
      <c r="C20" s="10" t="s">
        <v>9</v>
      </c>
      <c r="D20" s="4" t="s">
        <v>47</v>
      </c>
      <c r="E20" s="6" t="s">
        <v>93</v>
      </c>
      <c r="F20" s="17" t="b">
        <v>1</v>
      </c>
      <c r="G20" t="s">
        <v>120</v>
      </c>
      <c r="I20" s="23"/>
      <c r="K20" s="25"/>
    </row>
    <row r="21" spans="1:11" ht="53.1" customHeight="1">
      <c r="A21" s="73"/>
      <c r="B21" s="5">
        <v>19</v>
      </c>
      <c r="C21" s="10" t="s">
        <v>9</v>
      </c>
      <c r="D21" s="4" t="s">
        <v>73</v>
      </c>
      <c r="E21" s="6" t="s">
        <v>100</v>
      </c>
      <c r="F21" s="17" t="b">
        <v>1</v>
      </c>
      <c r="G21" t="s">
        <v>121</v>
      </c>
      <c r="I21" s="23"/>
      <c r="K21" s="25"/>
    </row>
    <row r="22" spans="1:11" ht="51.95" customHeight="1">
      <c r="A22" s="3" t="s">
        <v>2</v>
      </c>
      <c r="B22" s="77" t="s">
        <v>71</v>
      </c>
      <c r="C22" s="78"/>
      <c r="D22" s="78"/>
      <c r="E22" s="78"/>
      <c r="F22" s="78"/>
      <c r="G22" s="79"/>
      <c r="I22" s="23"/>
      <c r="K22" s="25"/>
    </row>
    <row r="23" spans="1:11">
      <c r="A23" s="3" t="s">
        <v>36</v>
      </c>
      <c r="B23" s="38">
        <v>19</v>
      </c>
      <c r="C23" s="74"/>
      <c r="D23" s="75"/>
      <c r="E23" s="75"/>
      <c r="F23" s="75"/>
      <c r="G23" s="76"/>
      <c r="K23" s="25"/>
    </row>
    <row r="24" spans="1:11">
      <c r="B24" s="13" t="s">
        <v>70</v>
      </c>
      <c r="K24" s="25"/>
    </row>
    <row r="25" spans="1:11">
      <c r="K25" s="25"/>
    </row>
    <row r="26" spans="1:11">
      <c r="K26" s="26"/>
    </row>
    <row r="29" spans="1:11">
      <c r="H29" s="13"/>
    </row>
  </sheetData>
  <mergeCells count="9">
    <mergeCell ref="C23:G23"/>
    <mergeCell ref="A1:G1"/>
    <mergeCell ref="A10:A14"/>
    <mergeCell ref="B22:G22"/>
    <mergeCell ref="A4:A5"/>
    <mergeCell ref="A6:A9"/>
    <mergeCell ref="A19:A21"/>
    <mergeCell ref="A15:A16"/>
    <mergeCell ref="A17:A18"/>
  </mergeCells>
  <phoneticPr fontId="2" type="noConversion"/>
  <printOptions headings="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CFA8-2B62-4A0D-A4D5-EAC8DD1FB7DB}">
  <sheetPr codeName="Sheet3"/>
  <dimension ref="A1:J13"/>
  <sheetViews>
    <sheetView zoomScale="130" zoomScaleNormal="130" workbookViewId="0">
      <selection activeCell="G28" sqref="G28"/>
    </sheetView>
  </sheetViews>
  <sheetFormatPr defaultColWidth="8.875" defaultRowHeight="16.5"/>
  <cols>
    <col min="1" max="4" width="9" style="12"/>
    <col min="5" max="6" width="15" style="12" customWidth="1"/>
    <col min="7" max="7" width="17" style="12" customWidth="1"/>
    <col min="8" max="8" width="21.375" style="12" customWidth="1"/>
    <col min="9" max="9" width="28.5" bestFit="1" customWidth="1"/>
  </cols>
  <sheetData>
    <row r="1" spans="1:10" ht="20.25">
      <c r="A1" s="83" t="s">
        <v>38</v>
      </c>
      <c r="B1" s="84"/>
      <c r="C1" s="84"/>
      <c r="D1" s="84"/>
      <c r="E1" s="84"/>
      <c r="F1" s="84"/>
      <c r="G1" s="84"/>
      <c r="H1" s="84"/>
      <c r="I1" s="84"/>
      <c r="J1" s="19"/>
    </row>
    <row r="2" spans="1:10">
      <c r="A2" s="85" t="s">
        <v>30</v>
      </c>
      <c r="B2" s="85"/>
      <c r="C2" s="85"/>
      <c r="D2" s="85"/>
      <c r="E2" s="1" t="s">
        <v>31</v>
      </c>
      <c r="F2" s="2" t="s">
        <v>32</v>
      </c>
      <c r="G2" s="1" t="s">
        <v>33</v>
      </c>
      <c r="H2" s="1" t="s">
        <v>34</v>
      </c>
      <c r="I2" s="1" t="s">
        <v>2</v>
      </c>
    </row>
    <row r="3" spans="1:10">
      <c r="A3" s="68" t="s">
        <v>35</v>
      </c>
      <c r="B3" s="68"/>
      <c r="C3" s="68"/>
      <c r="D3" s="68"/>
      <c r="E3" s="88" t="s">
        <v>42</v>
      </c>
      <c r="F3" s="89"/>
      <c r="G3" s="11">
        <f>COUNTIF('AAS Model Checklist'!F3:F21, TRUE)</f>
        <v>19</v>
      </c>
      <c r="H3" s="11">
        <f>ROUND(G3/G5, 3) * 100</f>
        <v>100</v>
      </c>
      <c r="I3" s="34" t="s">
        <v>63</v>
      </c>
    </row>
    <row r="4" spans="1:10">
      <c r="A4" s="68"/>
      <c r="B4" s="68"/>
      <c r="C4" s="68"/>
      <c r="D4" s="68"/>
      <c r="E4" s="88" t="s">
        <v>41</v>
      </c>
      <c r="F4" s="89"/>
      <c r="G4" s="41">
        <f>'AAS Model Checklist'!B23 - G3</f>
        <v>0</v>
      </c>
      <c r="H4" s="11">
        <f>ROUND(G4/G5, 3) * 100</f>
        <v>0</v>
      </c>
      <c r="I4" s="34" t="s">
        <v>62</v>
      </c>
    </row>
    <row r="5" spans="1:10">
      <c r="A5" s="68"/>
      <c r="B5" s="68"/>
      <c r="C5" s="68"/>
      <c r="D5" s="68"/>
      <c r="E5" s="14" t="s">
        <v>36</v>
      </c>
      <c r="F5" s="15" t="s">
        <v>26</v>
      </c>
      <c r="G5" s="14">
        <f>SUM(G3:G4)</f>
        <v>19</v>
      </c>
      <c r="H5" s="14">
        <f>SUM(H3:H4)</f>
        <v>100</v>
      </c>
      <c r="I5" s="35" t="s">
        <v>68</v>
      </c>
    </row>
    <row r="6" spans="1:10">
      <c r="A6" s="87" t="s">
        <v>37</v>
      </c>
      <c r="B6" s="87"/>
      <c r="C6" s="87"/>
      <c r="D6" s="87"/>
      <c r="E6" s="86" t="s">
        <v>9</v>
      </c>
      <c r="F6" s="11" t="s">
        <v>43</v>
      </c>
      <c r="G6" s="11">
        <f>COUNTIFS('AAS Model Checklist'!C3:C21, "필수", 'AAS Model Checklist'!F3:F21, TRUE)</f>
        <v>16</v>
      </c>
      <c r="H6" s="11">
        <f>ROUND(G6/G10, 3) * 100</f>
        <v>84.2</v>
      </c>
      <c r="I6" s="34" t="s">
        <v>64</v>
      </c>
    </row>
    <row r="7" spans="1:10">
      <c r="A7" s="87"/>
      <c r="B7" s="87"/>
      <c r="C7" s="87"/>
      <c r="D7" s="87"/>
      <c r="E7" s="86"/>
      <c r="F7" s="11" t="s">
        <v>44</v>
      </c>
      <c r="G7" s="11">
        <f>COUNTIFS('AAS Model Checklist'!C3:C21, "필수", 'AAS Model Checklist'!F3:F21, FALSE)</f>
        <v>0</v>
      </c>
      <c r="H7" s="11">
        <f>ROUND(G7/G10, 3) * 100</f>
        <v>0</v>
      </c>
      <c r="I7" s="34" t="s">
        <v>65</v>
      </c>
    </row>
    <row r="8" spans="1:10">
      <c r="A8" s="87"/>
      <c r="B8" s="87"/>
      <c r="C8" s="87"/>
      <c r="D8" s="87"/>
      <c r="E8" s="86" t="s">
        <v>15</v>
      </c>
      <c r="F8" s="11" t="s">
        <v>45</v>
      </c>
      <c r="G8" s="11">
        <f>COUNTIFS('AAS Model Checklist'!C3:C21, "옵션", 'AAS Model Checklist'!F3:F21, TRUE)</f>
        <v>3</v>
      </c>
      <c r="H8" s="11">
        <f>ROUND(G8/G10, 3) * 100</f>
        <v>15.8</v>
      </c>
      <c r="I8" s="34" t="s">
        <v>66</v>
      </c>
    </row>
    <row r="9" spans="1:10">
      <c r="A9" s="87"/>
      <c r="B9" s="87"/>
      <c r="C9" s="87"/>
      <c r="D9" s="87"/>
      <c r="E9" s="86"/>
      <c r="F9" s="11" t="s">
        <v>46</v>
      </c>
      <c r="G9" s="11">
        <f>COUNTIFS('AAS Model Checklist'!C3:C21, "옵션", 'AAS Model Checklist'!F3:F21, FALSE)</f>
        <v>0</v>
      </c>
      <c r="H9" s="11">
        <f>ROUND(G9/G10, 3) * 100</f>
        <v>0</v>
      </c>
      <c r="I9" s="34" t="s">
        <v>67</v>
      </c>
    </row>
    <row r="10" spans="1:10">
      <c r="A10" s="87"/>
      <c r="B10" s="87"/>
      <c r="C10" s="87"/>
      <c r="D10" s="87"/>
      <c r="E10" s="14" t="s">
        <v>36</v>
      </c>
      <c r="F10" s="16" t="s">
        <v>26</v>
      </c>
      <c r="G10" s="14">
        <f>SUM(G6:G9)</f>
        <v>19</v>
      </c>
      <c r="H10" s="14">
        <f>SUM(H6:H9)</f>
        <v>100</v>
      </c>
      <c r="I10" s="35" t="s">
        <v>68</v>
      </c>
    </row>
    <row r="12" spans="1:10">
      <c r="A12" s="82" t="s">
        <v>61</v>
      </c>
      <c r="B12" s="82"/>
      <c r="C12" s="82"/>
      <c r="D12" s="82"/>
      <c r="E12" s="82"/>
      <c r="F12" s="82"/>
      <c r="G12" s="82"/>
      <c r="H12" s="82"/>
      <c r="I12" s="82"/>
    </row>
    <row r="13" spans="1:10">
      <c r="B13" s="33"/>
    </row>
  </sheetData>
  <mergeCells count="9">
    <mergeCell ref="A12:I12"/>
    <mergeCell ref="A1:I1"/>
    <mergeCell ref="A2:D2"/>
    <mergeCell ref="E6:E7"/>
    <mergeCell ref="E8:E9"/>
    <mergeCell ref="A3:D5"/>
    <mergeCell ref="A6:D10"/>
    <mergeCell ref="E3:F3"/>
    <mergeCell ref="E4:F4"/>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FD889-563E-433D-90DF-A5D07DA03AD6}">
  <sheetPr codeName="Sheet4"/>
  <dimension ref="A1:G16"/>
  <sheetViews>
    <sheetView tabSelected="1" topLeftCell="A3" zoomScale="85" zoomScaleNormal="85" workbookViewId="0">
      <selection activeCell="M5" sqref="M5"/>
    </sheetView>
  </sheetViews>
  <sheetFormatPr defaultColWidth="8.875" defaultRowHeight="16.5"/>
  <cols>
    <col min="1" max="1" width="17.5" customWidth="1"/>
    <col min="2" max="2" width="14.375" customWidth="1"/>
    <col min="3" max="3" width="13" customWidth="1"/>
    <col min="4" max="4" width="25.5" customWidth="1"/>
    <col min="5" max="5" width="11.5" customWidth="1"/>
    <col min="6" max="6" width="38" customWidth="1"/>
  </cols>
  <sheetData>
    <row r="1" spans="1:7" ht="32.25" customHeight="1">
      <c r="A1" s="56" t="s">
        <v>48</v>
      </c>
      <c r="B1" s="57"/>
      <c r="C1" s="57"/>
      <c r="D1" s="57"/>
      <c r="E1" s="57"/>
      <c r="F1" s="57"/>
    </row>
    <row r="2" spans="1:7">
      <c r="A2" s="58" t="s">
        <v>50</v>
      </c>
      <c r="B2" s="59" t="s">
        <v>122</v>
      </c>
      <c r="C2" s="58" t="s">
        <v>49</v>
      </c>
      <c r="D2" s="60" t="s">
        <v>123</v>
      </c>
      <c r="E2" s="62" t="s">
        <v>51</v>
      </c>
      <c r="F2" s="60" t="s">
        <v>169</v>
      </c>
    </row>
    <row r="3" spans="1:7">
      <c r="A3" s="58"/>
      <c r="B3" s="59"/>
      <c r="C3" s="58"/>
      <c r="D3" s="61"/>
      <c r="E3" s="63"/>
      <c r="F3" s="61"/>
    </row>
    <row r="4" spans="1:7" ht="232.5" customHeight="1">
      <c r="A4" s="30" t="s">
        <v>52</v>
      </c>
      <c r="B4" s="54" t="s">
        <v>171</v>
      </c>
      <c r="C4" s="53"/>
      <c r="D4" s="53"/>
      <c r="E4" s="53"/>
      <c r="F4" s="53"/>
    </row>
    <row r="5" spans="1:7" ht="69.75" customHeight="1">
      <c r="A5" s="30" t="s">
        <v>53</v>
      </c>
      <c r="B5" s="53" t="s">
        <v>172</v>
      </c>
      <c r="C5" s="53"/>
      <c r="D5" s="53"/>
      <c r="E5" s="53"/>
      <c r="F5" s="53"/>
    </row>
    <row r="6" spans="1:7" ht="108" customHeight="1">
      <c r="A6" s="30" t="s">
        <v>2</v>
      </c>
      <c r="B6" s="53"/>
      <c r="C6" s="55"/>
      <c r="D6" s="55"/>
      <c r="E6" s="55"/>
      <c r="F6" s="55"/>
    </row>
    <row r="8" spans="1:7" ht="33">
      <c r="A8" s="51" t="s">
        <v>124</v>
      </c>
      <c r="B8" s="51" t="s">
        <v>153</v>
      </c>
      <c r="C8" s="51" t="s">
        <v>125</v>
      </c>
      <c r="D8" s="51" t="s">
        <v>126</v>
      </c>
      <c r="E8" s="51" t="s">
        <v>127</v>
      </c>
      <c r="F8" s="51" t="s">
        <v>128</v>
      </c>
      <c r="G8" s="48"/>
    </row>
    <row r="9" spans="1:7" ht="115.5">
      <c r="A9" s="49" t="s">
        <v>129</v>
      </c>
      <c r="B9" s="49" t="s">
        <v>130</v>
      </c>
      <c r="C9" s="49" t="s">
        <v>131</v>
      </c>
      <c r="D9" s="49" t="s">
        <v>155</v>
      </c>
      <c r="E9" s="49" t="s">
        <v>162</v>
      </c>
      <c r="F9" s="49">
        <v>61</v>
      </c>
      <c r="G9" s="20"/>
    </row>
    <row r="10" spans="1:7" ht="115.5">
      <c r="A10" s="49" t="s">
        <v>132</v>
      </c>
      <c r="B10" s="49" t="s">
        <v>133</v>
      </c>
      <c r="C10" s="50" t="s">
        <v>170</v>
      </c>
      <c r="D10" s="49" t="s">
        <v>156</v>
      </c>
      <c r="E10" s="49" t="s">
        <v>163</v>
      </c>
      <c r="F10" s="49" t="s">
        <v>134</v>
      </c>
      <c r="G10" s="20"/>
    </row>
    <row r="11" spans="1:7" ht="99">
      <c r="A11" s="49" t="s">
        <v>135</v>
      </c>
      <c r="B11" s="49" t="s">
        <v>133</v>
      </c>
      <c r="C11" s="50" t="s">
        <v>136</v>
      </c>
      <c r="D11" s="49" t="s">
        <v>157</v>
      </c>
      <c r="E11" s="49" t="s">
        <v>164</v>
      </c>
      <c r="F11" s="49" t="s">
        <v>137</v>
      </c>
      <c r="G11" s="20"/>
    </row>
    <row r="12" spans="1:7" ht="115.5">
      <c r="A12" s="49" t="s">
        <v>138</v>
      </c>
      <c r="B12" s="49" t="s">
        <v>139</v>
      </c>
      <c r="C12" s="50" t="s">
        <v>140</v>
      </c>
      <c r="D12" s="49" t="s">
        <v>158</v>
      </c>
      <c r="E12" s="49" t="s">
        <v>165</v>
      </c>
      <c r="F12" s="49" t="s">
        <v>141</v>
      </c>
      <c r="G12" s="20"/>
    </row>
    <row r="13" spans="1:7" ht="117">
      <c r="A13" s="49" t="s">
        <v>142</v>
      </c>
      <c r="B13" s="49" t="s">
        <v>143</v>
      </c>
      <c r="C13" s="50" t="s">
        <v>144</v>
      </c>
      <c r="D13" s="49" t="s">
        <v>160</v>
      </c>
      <c r="E13" s="49" t="s">
        <v>166</v>
      </c>
      <c r="F13" s="49" t="s">
        <v>145</v>
      </c>
      <c r="G13" s="20"/>
    </row>
    <row r="14" spans="1:7" ht="148.5">
      <c r="A14" s="49" t="s">
        <v>146</v>
      </c>
      <c r="B14" s="49" t="s">
        <v>147</v>
      </c>
      <c r="C14" s="50" t="s">
        <v>148</v>
      </c>
      <c r="D14" s="49" t="s">
        <v>159</v>
      </c>
      <c r="E14" s="49" t="s">
        <v>167</v>
      </c>
      <c r="F14" s="49" t="s">
        <v>149</v>
      </c>
      <c r="G14" s="20"/>
    </row>
    <row r="15" spans="1:7" ht="198">
      <c r="A15" s="49" t="s">
        <v>150</v>
      </c>
      <c r="B15" s="49" t="s">
        <v>143</v>
      </c>
      <c r="C15" s="49" t="s">
        <v>151</v>
      </c>
      <c r="D15" s="49" t="s">
        <v>161</v>
      </c>
      <c r="E15" s="49" t="s">
        <v>168</v>
      </c>
      <c r="F15" s="49" t="s">
        <v>152</v>
      </c>
      <c r="G15" s="20"/>
    </row>
    <row r="16" spans="1:7">
      <c r="A16" s="52"/>
      <c r="B16" s="52"/>
      <c r="C16" s="52"/>
      <c r="D16" s="52"/>
      <c r="E16" s="52"/>
      <c r="F16" s="52"/>
    </row>
  </sheetData>
  <mergeCells count="11">
    <mergeCell ref="A16:F16"/>
    <mergeCell ref="B5:F5"/>
    <mergeCell ref="B4:F4"/>
    <mergeCell ref="B6:F6"/>
    <mergeCell ref="A1:F1"/>
    <mergeCell ref="A2:A3"/>
    <mergeCell ref="B2:B3"/>
    <mergeCell ref="C2:C3"/>
    <mergeCell ref="D2:D3"/>
    <mergeCell ref="E2:E3"/>
    <mergeCell ref="F2:F3"/>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AAS Model Checklist Information</vt:lpstr>
      <vt:lpstr>AAS Model Checklist</vt:lpstr>
      <vt:lpstr>AAS Model Checklist Result</vt:lpstr>
      <vt:lpstr>Additional Considerations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cp:lastPrinted>2025-02-14T07:07:43Z</cp:lastPrinted>
  <dcterms:created xsi:type="dcterms:W3CDTF">2025-02-14T06:46:23Z</dcterms:created>
  <dcterms:modified xsi:type="dcterms:W3CDTF">2026-10-27T01:49:21Z</dcterms:modified>
</cp:coreProperties>
</file>