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AAS\Outputs\Month_03\상압 염색기\"/>
    </mc:Choice>
  </mc:AlternateContent>
  <xr:revisionPtr revIDLastSave="0" documentId="13_ncr:1_{AF84AAE5-5858-43DB-82BB-D846FD4170E6}" xr6:coauthVersionLast="47" xr6:coauthVersionMax="47" xr10:uidLastSave="{00000000-0000-0000-0000-000000000000}"/>
  <bookViews>
    <workbookView xWindow="-98" yWindow="-98" windowWidth="21795" windowHeight="12975" xr2:uid="{5D672DD9-5B8D-4463-AED7-35C87E05FECA}"/>
  </bookViews>
  <sheets>
    <sheet name="AAS Model Checklist" sheetId="2" r:id="rId1"/>
    <sheet name="AAS Model Checklist Resul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sharedStrings.xml><?xml version="1.0" encoding="utf-8"?>
<sst xmlns="http://schemas.openxmlformats.org/spreadsheetml/2006/main" count="126" uniqueCount="99">
  <si>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</si>
  <si>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</si>
  <si>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</si>
  <si>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</si>
  <si>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</si>
  <si>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</si>
  <si>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</si>
  <si>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</si>
  <si>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</si>
  <si>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</si>
  <si>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</si>
  <si>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</si>
  <si>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</si>
  <si>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옵션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</si>
  <si>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</si>
  <si>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</si>
  <si>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</si>
  <si>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</si>
  <si>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</si>
  <si>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</si>
  <si>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</si>
  <si>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</si>
  <si>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</si>
  <si>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</si>
  <si>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</si>
  <si>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</si>
  <si>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</si>
  <si>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</si>
  <si>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</si>
  <si>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</si>
  <si>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</si>
  <si>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</si>
  <si>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</si>
  <si>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</si>
  <si>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</si>
  <si>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</si>
  <si>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</si>
  <si>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</si>
  <si>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</si>
  <si>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</si>
  <si>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</si>
  <si>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</si>
  <si>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</si>
  <si>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</si>
  <si>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</si>
  <si>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</si>
  <si>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</si>
  <si>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</si>
  <si>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</si>
  <si>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</si>
  <si>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</si>
  <si>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</si>
  <si>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</si>
  <si>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</si>
  <si>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</si>
  <si>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</si>
  <si>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</si>
  <si>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</si>
  <si>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</si>
  <si>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</si>
  <si>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</si>
  <si>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</si>
  <si>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</si>
  <si>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</si>
  <si>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</si>
  <si>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</si>
  <si>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</si>
  <si>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</si>
  <si>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</si>
  <si>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</si>
  <si>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</si>
  <si>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</si>
  <si>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</si>
  <si>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</si>
  <si>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</si>
  <si>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</si>
  <si>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</si>
  <si>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</si>
  <si>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</si>
  <si>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t>AASX에 대표 이미지가 포함되어 있으며, defaultThumbnail에 동일한 경로가 설정되어 있음을 확인함.</t>
    <phoneticPr fontId="2" type="noConversion"/>
  </si>
  <si>
    <t>필수 대상에 idShort가 설정되어 있으며, SML 직접 하위 요소에는 생략 기준을 적용함.</t>
    <phoneticPr fontId="2" type="noConversion"/>
  </si>
  <si>
    <t>설정된 SME의 idShort가 공백이나 부적절한 특수문자 없이 영문 명명 형식을 준수함.</t>
    <phoneticPr fontId="2" type="noConversion"/>
  </si>
  <si>
    <t>AAS ID가 지정된 IRI 형식으로 작성되었으며, administration의 버전 1/0과 일치함.</t>
    <phoneticPr fontId="2" type="noConversion"/>
  </si>
  <si>
    <t>필수 4종을 포함하여 총 8종의 Submodel로 구성되어 있어 요구 범위를 충족함.</t>
    <phoneticPr fontId="2" type="noConversion"/>
  </si>
  <si>
    <t>예시 장비를 식별하는 globalAssetId가 IRI 형식으로 설정되어 있음.</t>
    <phoneticPr fontId="2" type="noConversion"/>
  </si>
  <si>
    <t>AssetInformation의 assetKind가 Type으로 설정되어 있음을 확인함.</t>
    <phoneticPr fontId="2" type="noConversion"/>
  </si>
  <si>
    <t>표준 Submodel의 적용 버전이 명시되어 있으며, 최신 배포 버전 여부는 별도 대조가 필요함.</t>
    <phoneticPr fontId="2" type="noConversion"/>
  </si>
  <si>
    <t>모든 Submodel ID가 AAS명, Submodel명 및 버전을 포함하며 administration 정보와 일치함.</t>
    <phoneticPr fontId="2" type="noConversion"/>
  </si>
  <si>
    <t>표준 Submodel에는 표준 semanticId를 적용하고, OperationalData에는 지정 형식의 자체 IRI를 설정함.</t>
    <phoneticPr fontId="2" type="noConversion"/>
  </si>
  <si>
    <t>전체 Submodel의 kind가 Template으로 설정되어 있음.</t>
    <phoneticPr fontId="2" type="noConversion"/>
  </si>
  <si>
    <t>염색조·온도·순환 사양과 운전·계측·알람 정보가 목적별 2단계 이상의 계층으로 구성됨.</t>
    <phoneticPr fontId="2" type="noConversion"/>
  </si>
  <si>
    <t>Operation, BasicEventElement 및 Capability 요소가 사용되지 않았음을 확인함.</t>
    <phoneticPr fontId="2" type="noConversion"/>
  </si>
  <si>
    <t>모든 SME에 semanticId가 설정되어 포함된 ConceptDescription 또는 표준 의미 식별자와 연결됨.</t>
    <phoneticPr fontId="2" type="noConversion"/>
  </si>
  <si>
    <t>검토 대상 Property에 구체적인 예시 데이터가 누락 없이 입력되어 있음.</t>
    <phoneticPr fontId="2" type="noConversion"/>
  </si>
  <si>
    <t>Property의 valueType이 설정되어 있으나, 일부 항목과 CD dataType 간 대응 관계는 추가 확인이 필요함.</t>
    <phoneticPr fontId="2" type="noConversion"/>
  </si>
  <si>
    <t>전체 ConceptDescription에 항목의 의미를 설명하는 definition 또는 description이 작성됨.</t>
    <phoneticPr fontId="2" type="noConversion"/>
  </si>
  <si>
    <t>장비 특화 값 요소의 CD에는 dataType이 설정되어 있으며, 구조 요소와 일부 표준 CD에는 생략되어 있음.</t>
    <phoneticPr fontId="2" type="noConversion"/>
  </si>
  <si>
    <t>2026-10-29 최종 AASX 기준 재검증
SHA-256 7d88cad2c369c29e5a386aa0aa24393222099e08a5b62f0e4bf19a632687eac0
자동검사 71개: 70 Passed / 1 Failed(cd_id). SDK 중복 언어 3개 별도.
PlannedSetupTime의 ISO22400-2 온톨로지 IRI 보존.
수동 예외 근거와 자동 통과를 구분하며 예외 수용은 검토자 확인 대상.</t>
  </si>
  <si>
    <t>자체 체크리스트 19항목: 18 충족·1 불충족(CD ID 형식). 자동검사 71개: 70 Passed·1 Failed. 공식 IRI 수동 예외는 별도 확인.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</si>
</sst>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Arial Unicode MS"/>
      <family val="3"/>
      <charset val="129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69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6" fillId="0" borderId="2" xfId="0" applyFont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6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2" xfId="0" applyFont="1" applyBorder="1" applyAlignment="1">
      <alignment horizontal="center" vertical="center"/>
    </xf>
    <xf numFmtId="0" fontId="11" fillId="0" borderId="2" xfId="0" quotePrefix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8" fillId="0" borderId="0" xfId="0" applyFont="1" applyAlignment="1">
      <alignment vertical="top" wrapText="1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zoomScale="70" zoomScaleNormal="70" workbookViewId="0">
      <selection activeCell="H19" sqref="H19"/>
    </sheetView>
  </sheetViews>
  <sheetFormatPr defaultColWidth="8.8125" defaultRowHeight="16.899999999999999"/>
  <cols>
    <col min="1" max="1" width="17.5" style="11" bestFit="1" customWidth="1"/>
    <col min="2" max="2" width="4.5" style="11" bestFit="1" customWidth="1"/>
    <col min="3" max="3" width="6.3125" style="11" bestFit="1" customWidth="1"/>
    <col min="4" max="4" width="26.5" style="11" bestFit="1" customWidth="1"/>
    <col min="5" max="5" width="71.3125" style="11" customWidth="1"/>
    <col min="6" max="6" width="10" style="11" customWidth="1"/>
    <col min="7" max="7" width="86.875" style="27" bestFit="1" customWidth="1"/>
    <col min="8" max="8" width="24" customWidth="1"/>
    <col min="9" max="9" width="107.3125" style="18" customWidth="1"/>
    <col min="10" max="10" width="13" style="20" customWidth="1"/>
    <col min="11" max="11" width="39.5" customWidth="1"/>
  </cols>
  <sheetData>
    <row r="1" spans="1:11" ht="20.65">
      <c r="A1" s="46" t="s">
        <v>65</v>
      </c>
      <c r="B1" s="47"/>
      <c r="C1" s="47"/>
      <c r="D1" s="47"/>
      <c r="E1" s="47"/>
      <c r="F1" s="47"/>
      <c r="G1" s="48"/>
      <c r="I1" s="25"/>
      <c r="K1" s="20"/>
    </row>
    <row r="2" spans="1:11">
      <c r="A2" s="1" t="s">
        <v>2</v>
      </c>
      <c r="B2" s="1" t="s">
        <v>3</v>
      </c>
      <c r="C2" s="1" t="s">
        <v>4</v>
      </c>
      <c r="D2" s="1" t="s">
        <v>5</v>
      </c>
      <c r="E2" s="2" t="s">
        <v>0</v>
      </c>
      <c r="F2" s="2" t="s">
        <v>6</v>
      </c>
      <c r="G2" s="2" t="s">
        <v>44</v>
      </c>
      <c r="K2" s="21"/>
    </row>
    <row r="3" spans="1:11" ht="31.5">
      <c r="A3" s="3" t="s">
        <v>7</v>
      </c>
      <c r="B3" s="4">
        <v>1</v>
      </c>
      <c r="C3" s="4" t="s">
        <v>8</v>
      </c>
      <c r="D3" s="4" t="s">
        <v>9</v>
      </c>
      <c r="E3" s="42" t="s">
        <v>69</v>
      </c>
      <c r="F3" s="15" t="b">
        <v>1</v>
      </c>
      <c r="G3" s="31" t="s">
        <v>79</v>
      </c>
      <c r="K3" s="21"/>
    </row>
    <row r="4" spans="1:11" ht="24" customHeight="1">
      <c r="A4" s="49" t="s">
        <v>58</v>
      </c>
      <c r="B4" s="7">
        <v>2</v>
      </c>
      <c r="C4" s="7" t="s">
        <v>8</v>
      </c>
      <c r="D4" s="7" t="s">
        <v>10</v>
      </c>
      <c r="E4" s="40" t="s">
        <v>11</v>
      </c>
      <c r="F4" s="15" t="b">
        <v>1</v>
      </c>
      <c r="G4" s="31" t="s">
        <v>80</v>
      </c>
      <c r="K4" s="21"/>
    </row>
    <row r="5" spans="1:11" ht="78.75">
      <c r="A5" s="51"/>
      <c r="B5" s="7">
        <v>3</v>
      </c>
      <c r="C5" s="7" t="s">
        <v>8</v>
      </c>
      <c r="D5" s="7" t="s">
        <v>41</v>
      </c>
      <c r="E5" s="40" t="s">
        <v>73</v>
      </c>
      <c r="F5" s="15" t="b">
        <v>1</v>
      </c>
      <c r="G5" s="31" t="s">
        <v>81</v>
      </c>
      <c r="K5" s="21"/>
    </row>
    <row r="6" spans="1:11" ht="63">
      <c r="A6" s="49" t="s">
        <v>45</v>
      </c>
      <c r="B6" s="4">
        <v>4</v>
      </c>
      <c r="C6" s="4" t="s">
        <v>8</v>
      </c>
      <c r="D6" s="4" t="s">
        <v>12</v>
      </c>
      <c r="E6" s="6" t="s">
        <v>74</v>
      </c>
      <c r="F6" s="15" t="b">
        <v>1</v>
      </c>
      <c r="G6" s="26" t="s">
        <v>82</v>
      </c>
      <c r="K6" s="21"/>
    </row>
    <row r="7" spans="1:11" ht="63">
      <c r="A7" s="50"/>
      <c r="B7" s="5">
        <v>5</v>
      </c>
      <c r="C7" s="4" t="s">
        <v>8</v>
      </c>
      <c r="D7" s="4" t="s">
        <v>14</v>
      </c>
      <c r="E7" s="6" t="s">
        <v>70</v>
      </c>
      <c r="F7" s="15" t="b">
        <v>1</v>
      </c>
      <c r="G7" s="32" t="s">
        <v>83</v>
      </c>
      <c r="K7" s="21"/>
    </row>
    <row r="8" spans="1:11" ht="25.05" customHeight="1">
      <c r="A8" s="50"/>
      <c r="B8" s="4">
        <v>6</v>
      </c>
      <c r="C8" s="4" t="s">
        <v>13</v>
      </c>
      <c r="D8" s="4" t="s">
        <v>15</v>
      </c>
      <c r="E8" s="6" t="s">
        <v>16</v>
      </c>
      <c r="F8" s="15" t="b">
        <v>1</v>
      </c>
      <c r="G8" s="32" t="s">
        <v>84</v>
      </c>
      <c r="K8" s="21"/>
    </row>
    <row r="9" spans="1:11" ht="25.05" customHeight="1">
      <c r="A9" s="51"/>
      <c r="B9" s="4">
        <v>7</v>
      </c>
      <c r="C9" s="4" t="s">
        <v>8</v>
      </c>
      <c r="D9" s="4" t="s">
        <v>17</v>
      </c>
      <c r="E9" s="26" t="s">
        <v>42</v>
      </c>
      <c r="F9" s="16" t="b">
        <v>1</v>
      </c>
      <c r="G9" s="32" t="s">
        <v>85</v>
      </c>
      <c r="K9" s="21"/>
    </row>
    <row r="10" spans="1:11" ht="34.049999999999997" customHeight="1">
      <c r="A10" s="49" t="s">
        <v>18</v>
      </c>
      <c r="B10" s="7">
        <v>8</v>
      </c>
      <c r="C10" s="7" t="s">
        <v>8</v>
      </c>
      <c r="D10" s="7" t="s">
        <v>59</v>
      </c>
      <c r="E10" s="41" t="s">
        <v>60</v>
      </c>
      <c r="F10" s="16" t="b">
        <v>1</v>
      </c>
      <c r="G10" s="32" t="s">
        <v>86</v>
      </c>
      <c r="K10" s="21"/>
    </row>
    <row r="11" spans="1:11" ht="63">
      <c r="A11" s="50"/>
      <c r="B11" s="4">
        <v>9</v>
      </c>
      <c r="C11" s="4" t="s">
        <v>8</v>
      </c>
      <c r="D11" s="4" t="s">
        <v>12</v>
      </c>
      <c r="E11" s="6" t="s">
        <v>74</v>
      </c>
      <c r="F11" s="15" t="b">
        <v>1</v>
      </c>
      <c r="G11" s="32" t="s">
        <v>87</v>
      </c>
      <c r="K11" s="23"/>
    </row>
    <row r="12" spans="1:11" ht="31.5">
      <c r="A12" s="50"/>
      <c r="B12" s="5">
        <v>10</v>
      </c>
      <c r="C12" s="4" t="s">
        <v>8</v>
      </c>
      <c r="D12" s="4" t="s">
        <v>19</v>
      </c>
      <c r="E12" s="6" t="s">
        <v>40</v>
      </c>
      <c r="F12" s="15" t="b">
        <v>1</v>
      </c>
      <c r="G12" s="32" t="s">
        <v>88</v>
      </c>
      <c r="I12" s="19"/>
      <c r="J12" s="24"/>
      <c r="K12" s="21"/>
    </row>
    <row r="13" spans="1:11" ht="25.05" customHeight="1">
      <c r="A13" s="50"/>
      <c r="B13" s="4">
        <v>11</v>
      </c>
      <c r="C13" s="4" t="s">
        <v>8</v>
      </c>
      <c r="D13" s="4" t="s">
        <v>20</v>
      </c>
      <c r="E13" s="26" t="s">
        <v>43</v>
      </c>
      <c r="F13" s="16" t="b">
        <v>1</v>
      </c>
      <c r="G13" s="33" t="s">
        <v>89</v>
      </c>
      <c r="K13" s="21"/>
    </row>
    <row r="14" spans="1:11" ht="130.05000000000001" customHeight="1">
      <c r="A14" s="51"/>
      <c r="B14" s="7">
        <v>12</v>
      </c>
      <c r="C14" s="7" t="s">
        <v>13</v>
      </c>
      <c r="D14" s="7" t="s">
        <v>61</v>
      </c>
      <c r="E14" s="41" t="s">
        <v>75</v>
      </c>
      <c r="F14" s="16" t="b">
        <v>1</v>
      </c>
      <c r="G14" s="33" t="s">
        <v>90</v>
      </c>
      <c r="K14" s="21"/>
    </row>
    <row r="15" spans="1:11" ht="31.5">
      <c r="A15" s="55" t="s">
        <v>66</v>
      </c>
      <c r="B15" s="7">
        <v>13</v>
      </c>
      <c r="C15" s="7" t="s">
        <v>13</v>
      </c>
      <c r="D15" s="39" t="s">
        <v>64</v>
      </c>
      <c r="E15" s="40" t="s">
        <v>76</v>
      </c>
      <c r="F15" s="16" t="b">
        <v>1</v>
      </c>
      <c r="G15" s="33" t="s">
        <v>91</v>
      </c>
      <c r="K15" s="21"/>
    </row>
    <row r="16" spans="1:11" ht="26" customHeight="1">
      <c r="A16" s="56"/>
      <c r="B16" s="4">
        <v>14</v>
      </c>
      <c r="C16" s="4" t="s">
        <v>8</v>
      </c>
      <c r="D16" s="4" t="s">
        <v>62</v>
      </c>
      <c r="E16" s="6" t="s">
        <v>68</v>
      </c>
      <c r="F16" s="16" t="b">
        <v>1</v>
      </c>
      <c r="G16" s="33" t="s">
        <v>92</v>
      </c>
      <c r="K16" s="21"/>
    </row>
    <row r="17" spans="1:11" ht="53" customHeight="1">
      <c r="A17" s="55" t="s">
        <v>67</v>
      </c>
      <c r="B17" s="7">
        <v>15</v>
      </c>
      <c r="C17" s="7" t="s">
        <v>8</v>
      </c>
      <c r="D17" s="7" t="s">
        <v>21</v>
      </c>
      <c r="E17" s="40" t="s">
        <v>77</v>
      </c>
      <c r="F17" s="15" t="b">
        <v>1</v>
      </c>
      <c r="G17" s="34" t="s">
        <v>93</v>
      </c>
      <c r="K17" s="21"/>
    </row>
    <row r="18" spans="1:11" ht="37.049999999999997" customHeight="1">
      <c r="A18" s="56"/>
      <c r="B18" s="5">
        <v>16</v>
      </c>
      <c r="C18" s="4" t="s">
        <v>8</v>
      </c>
      <c r="D18" s="8" t="s">
        <v>63</v>
      </c>
      <c r="E18" s="6" t="s">
        <v>56</v>
      </c>
      <c r="F18" s="36" t="b">
        <v>1</v>
      </c>
      <c r="G18" s="38" t="s">
        <v>94</v>
      </c>
      <c r="K18" s="21"/>
    </row>
    <row r="19" spans="1:11" ht="160.05000000000001" customHeight="1">
      <c r="A19" s="49" t="s">
        <v>22</v>
      </c>
      <c r="B19" s="5">
        <v>17</v>
      </c>
      <c r="C19" s="4" t="s">
        <v>8</v>
      </c>
      <c r="D19" s="4" t="s">
        <v>12</v>
      </c>
      <c r="E19" s="6" t="s">
        <v>72</v>
      </c>
      <c r="F19" s="15" t="b">
        <v>0</v>
      </c>
      <c r="G19" s="66" t="s">
        <v>97</v>
      </c>
      <c r="K19" s="21"/>
    </row>
    <row r="20" spans="1:11" ht="53" customHeight="1">
      <c r="A20" s="50"/>
      <c r="B20" s="4">
        <v>18</v>
      </c>
      <c r="C20" s="8" t="s">
        <v>8</v>
      </c>
      <c r="D20" s="4" t="s">
        <v>39</v>
      </c>
      <c r="E20" s="6" t="s">
        <v>71</v>
      </c>
      <c r="F20" s="15" t="b">
        <v>1</v>
      </c>
      <c r="G20" s="33" t="s">
        <v>95</v>
      </c>
      <c r="I20" s="19"/>
      <c r="K20" s="21"/>
    </row>
    <row r="21" spans="1:11" ht="53" customHeight="1">
      <c r="A21" s="51"/>
      <c r="B21" s="5">
        <v>19</v>
      </c>
      <c r="C21" s="8" t="s">
        <v>8</v>
      </c>
      <c r="D21" s="4" t="s">
        <v>57</v>
      </c>
      <c r="E21" s="6" t="s">
        <v>78</v>
      </c>
      <c r="F21" s="15" t="b">
        <v>1</v>
      </c>
      <c r="G21" s="33" t="s">
        <v>96</v>
      </c>
      <c r="I21" s="19"/>
      <c r="K21" s="21"/>
    </row>
    <row r="22" spans="1:11" ht="52.05" customHeight="1">
      <c r="A22" s="3" t="s">
        <v>1</v>
      </c>
      <c r="B22" s="52" t="s">
        <v>55</v>
      </c>
      <c r="C22" s="53"/>
      <c r="D22" s="53"/>
      <c r="E22" s="53"/>
      <c r="F22" s="53"/>
      <c r="G22" s="54"/>
      <c r="I22" s="19"/>
      <c r="K22" s="21"/>
    </row>
    <row r="23" spans="1:11">
      <c r="A23" s="3" t="s">
        <v>30</v>
      </c>
      <c r="B23" s="35">
        <v>19</v>
      </c>
      <c r="C23" s="43"/>
      <c r="D23" s="44"/>
      <c r="E23" s="44"/>
      <c r="F23" s="44"/>
      <c r="G23" s="45"/>
      <c r="K23" s="21"/>
    </row>
    <row r="24" spans="1:11">
      <c r="B24" s="11" t="s">
        <v>54</v>
      </c>
      <c r="K24" s="21"/>
    </row>
    <row r="25" spans="1:11">
      <c r="K25" s="21"/>
    </row>
    <row r="26" spans="1:11">
      <c r="K26" s="22"/>
    </row>
    <row r="29" spans="1:11">
      <c r="H29" s="11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5"/>
  <sheetViews>
    <sheetView zoomScale="130" zoomScaleNormal="130" workbookViewId="0">
      <selection activeCell="G28" sqref="G28"/>
    </sheetView>
  </sheetViews>
  <sheetFormatPr defaultColWidth="8.8125" defaultRowHeight="16.899999999999999"/>
  <cols>
    <col min="1" max="4" width="9" style="10"/>
    <col min="5" max="6" width="15" style="10" customWidth="1"/>
    <col min="7" max="7" width="17" style="10" customWidth="1"/>
    <col min="8" max="8" width="21.3125" style="10" customWidth="1"/>
    <col min="9" max="9" width="28.5" bestFit="1" customWidth="1"/>
  </cols>
  <sheetData>
    <row r="1" spans="1:10" ht="20.65">
      <c r="A1" s="58" t="s">
        <v>32</v>
      </c>
      <c r="B1" s="59"/>
      <c r="C1" s="59"/>
      <c r="D1" s="59"/>
      <c r="E1" s="59"/>
      <c r="F1" s="59"/>
      <c r="G1" s="59"/>
      <c r="H1" s="59"/>
      <c r="I1" s="59"/>
      <c r="J1" s="17"/>
    </row>
    <row r="2" spans="1:10">
      <c r="A2" s="60" t="s">
        <v>24</v>
      </c>
      <c r="B2" s="60"/>
      <c r="C2" s="60"/>
      <c r="D2" s="60"/>
      <c r="E2" s="1" t="s">
        <v>25</v>
      </c>
      <c r="F2" s="2" t="s">
        <v>26</v>
      </c>
      <c r="G2" s="1" t="s">
        <v>27</v>
      </c>
      <c r="H2" s="1" t="s">
        <v>28</v>
      </c>
      <c r="I2" s="1" t="s">
        <v>1</v>
      </c>
    </row>
    <row r="3" spans="1:10">
      <c r="A3" s="62" t="s">
        <v>29</v>
      </c>
      <c r="B3" s="62"/>
      <c r="C3" s="62"/>
      <c r="D3" s="62"/>
      <c r="E3" s="64" t="s">
        <v>34</v>
      </c>
      <c r="F3" s="65"/>
      <c r="G3" s="9">
        <f>COUNTIF('AAS Model Checklist'!F3:F21, TRUE)</f>
        <v>18</v>
      </c>
      <c r="H3" s="9">
        <f>ROUND(G3/G5, 3) * 100</f>
        <v>94.699999999999989</v>
      </c>
      <c r="I3" s="29" t="s">
        <v>48</v>
      </c>
    </row>
    <row r="4" spans="1:10">
      <c r="A4" s="62"/>
      <c r="B4" s="62"/>
      <c r="C4" s="62"/>
      <c r="D4" s="62"/>
      <c r="E4" s="64" t="s">
        <v>33</v>
      </c>
      <c r="F4" s="65"/>
      <c r="G4" s="37">
        <f>'AAS Model Checklist'!B23 - G3</f>
        <v>1</v>
      </c>
      <c r="H4" s="9">
        <f>ROUND(G4/G5, 3) * 100</f>
        <v>5.3</v>
      </c>
      <c r="I4" s="29" t="s">
        <v>47</v>
      </c>
    </row>
    <row r="5" spans="1:10">
      <c r="A5" s="62"/>
      <c r="B5" s="62"/>
      <c r="C5" s="62"/>
      <c r="D5" s="62"/>
      <c r="E5" s="12" t="s">
        <v>30</v>
      </c>
      <c r="F5" s="13" t="s">
        <v>23</v>
      </c>
      <c r="G5" s="12">
        <f>SUM(G3:G4)</f>
        <v>19</v>
      </c>
      <c r="H5" s="12">
        <f>SUM(H3:H4)</f>
        <v>99.999999999999986</v>
      </c>
      <c r="I5" s="30" t="s">
        <v>53</v>
      </c>
    </row>
    <row r="6" spans="1:10">
      <c r="A6" s="63" t="s">
        <v>31</v>
      </c>
      <c r="B6" s="63"/>
      <c r="C6" s="63"/>
      <c r="D6" s="63"/>
      <c r="E6" s="61" t="s">
        <v>8</v>
      </c>
      <c r="F6" s="9" t="s">
        <v>35</v>
      </c>
      <c r="G6" s="9">
        <f>COUNTIFS('AAS Model Checklist'!C3:C21, "필수", 'AAS Model Checklist'!F3:F21, TRUE)</f>
        <v>15</v>
      </c>
      <c r="H6" s="9">
        <f>ROUND(G6/G10, 3) * 100</f>
        <v>78.900000000000006</v>
      </c>
      <c r="I6" s="29" t="s">
        <v>49</v>
      </c>
    </row>
    <row r="7" spans="1:10">
      <c r="A7" s="63"/>
      <c r="B7" s="63"/>
      <c r="C7" s="63"/>
      <c r="D7" s="63"/>
      <c r="E7" s="61"/>
      <c r="F7" s="9" t="s">
        <v>36</v>
      </c>
      <c r="G7" s="9">
        <f>COUNTIFS('AAS Model Checklist'!C3:C21, "필수", 'AAS Model Checklist'!F3:F21, FALSE)</f>
        <v>1</v>
      </c>
      <c r="H7" s="9">
        <f>ROUND(G7/G10, 3) * 100</f>
        <v>5.3</v>
      </c>
      <c r="I7" s="29" t="s">
        <v>50</v>
      </c>
    </row>
    <row r="8" spans="1:10">
      <c r="A8" s="63"/>
      <c r="B8" s="63"/>
      <c r="C8" s="63"/>
      <c r="D8" s="63"/>
      <c r="E8" s="61" t="s">
        <v>13</v>
      </c>
      <c r="F8" s="9" t="s">
        <v>37</v>
      </c>
      <c r="G8" s="9">
        <f>COUNTIFS('AAS Model Checklist'!C3:C21, "옵션", 'AAS Model Checklist'!F3:F21, TRUE)</f>
        <v>3</v>
      </c>
      <c r="H8" s="9">
        <f>ROUND(G8/G10, 3) * 100</f>
        <v>15.8</v>
      </c>
      <c r="I8" s="29" t="s">
        <v>51</v>
      </c>
    </row>
    <row r="9" spans="1:10">
      <c r="A9" s="63"/>
      <c r="B9" s="63"/>
      <c r="C9" s="63"/>
      <c r="D9" s="63"/>
      <c r="E9" s="61"/>
      <c r="F9" s="9" t="s">
        <v>38</v>
      </c>
      <c r="G9" s="9">
        <f>COUNTIFS('AAS Model Checklist'!C3:C21, "옵션", 'AAS Model Checklist'!F3:F21, FALSE)</f>
        <v>0</v>
      </c>
      <c r="H9" s="9">
        <f>ROUND(G9/G10, 3) * 100</f>
        <v>0</v>
      </c>
      <c r="I9" s="29" t="s">
        <v>52</v>
      </c>
    </row>
    <row r="10" spans="1:10">
      <c r="A10" s="63"/>
      <c r="B10" s="63"/>
      <c r="C10" s="63"/>
      <c r="D10" s="63"/>
      <c r="E10" s="12" t="s">
        <v>30</v>
      </c>
      <c r="F10" s="14" t="s">
        <v>23</v>
      </c>
      <c r="G10" s="12">
        <f>SUM(G6:G9)</f>
        <v>19</v>
      </c>
      <c r="H10" s="12">
        <f>SUM(H6:H9)</f>
        <v>100</v>
      </c>
      <c r="I10" s="30" t="s">
        <v>53</v>
      </c>
    </row>
    <row r="12" spans="1:10">
      <c r="A12" s="57" t="s">
        <v>46</v>
      </c>
      <c r="B12" s="57"/>
      <c r="C12" s="57"/>
      <c r="D12" s="57"/>
      <c r="E12" s="57"/>
      <c r="F12" s="57"/>
      <c r="G12" s="57"/>
      <c r="H12" s="57"/>
      <c r="I12" s="57"/>
    </row>
    <row r="13" spans="1:10">
      <c r="B13" s="28"/>
    </row>
    <row r="14" spans="1:10" ht="52.05" customHeight="1">
      <c r="A14" s="67" t="s">
        <v>98</v>
      </c>
      <c r="B14" s="68"/>
      <c r="C14" s="68"/>
      <c r="D14" s="68"/>
      <c r="E14" s="68"/>
      <c r="F14" s="68"/>
      <c r="G14" s="68"/>
      <c r="H14" s="68"/>
      <c r="I14" s="67"/>
      <c r="J14" s="67"/>
    </row>
    <row r="15" spans="1:10">
      <c r="A15" s="68"/>
      <c r="B15" s="68"/>
      <c r="C15" s="68"/>
      <c r="D15" s="68"/>
      <c r="E15" s="68"/>
      <c r="F15" s="68"/>
      <c r="G15" s="68"/>
      <c r="H15" s="68"/>
      <c r="I15" s="67"/>
      <c r="J15" s="67"/>
    </row>
  </sheetData>
  <mergeCells count="10">
    <mergeCell ref="A14:J15"/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AAS Model Checklist</vt:lpstr>
      <vt:lpstr>AAS Model Checklist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익제 김</cp:lastModifiedBy>
  <cp:lastPrinted>2025-02-14T07:07:43Z</cp:lastPrinted>
  <dcterms:created xsi:type="dcterms:W3CDTF">2025-02-14T06:46:23Z</dcterms:created>
  <dcterms:modified xsi:type="dcterms:W3CDTF">2026-10-29T04:58:20Z</dcterms:modified>
</cp:coreProperties>
</file>