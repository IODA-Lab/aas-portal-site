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D:\제출 산출물\머서라이징기\"/>
    </mc:Choice>
  </mc:AlternateContent>
  <xr:revisionPtr revIDLastSave="0" documentId="13_ncr:1_{96BE5523-914B-4DFD-8B5D-D33E1BE69E79}" xr6:coauthVersionLast="47" xr6:coauthVersionMax="47" xr10:uidLastSave="{00000000-0000-0000-0000-000000000000}"/>
  <bookViews>
    <workbookView xWindow="-98" yWindow="-98" windowWidth="21795" windowHeight="12975" activeTab="1" xr2:uid="{5D672DD9-5B8D-4463-AED7-35C87E05FECA}"/>
  </bookViews>
  <sheets>
    <sheet name="AAS Model Checklist Information" sheetId="1" r:id="rId1"/>
    <sheet name="AAS Model Checklist" sheetId="2" r:id="rId2"/>
    <sheet name="AAS Model Checklist Result" sheetId="3" r:id="rId3"/>
    <sheet name="Additional Consideration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3" l="1"/>
  <c r="G8" i="3"/>
  <c r="G7" i="3"/>
  <c r="G6" i="3"/>
  <c r="G3" i="3"/>
  <c r="G4" i="3" s="1"/>
  <c r="G5" i="3" l="1"/>
  <c r="G10" i="3"/>
  <c r="H4" i="3" l="1"/>
  <c r="H3" i="3"/>
  <c r="H8" i="3"/>
  <c r="H9" i="3"/>
  <c r="H6" i="3"/>
  <c r="H7" i="3"/>
  <c r="H5" i="3" l="1"/>
  <c r="H10" i="3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<sst xmlns="http://schemas.openxmlformats.org/spreadsheetml/2006/main" count="137" uniqueCount="104">
  <si>
    <t>기본정보</t>
    <phoneticPr fontId="2" type="noConversion"/>
  </si>
  <si>
    <t>설명</t>
    <phoneticPr fontId="2" type="noConversion"/>
  </si>
  <si>
    <t>비고</t>
    <phoneticPr fontId="2" type="noConversion"/>
  </si>
  <si>
    <t>분류(대상)</t>
    <phoneticPr fontId="2" type="noConversion"/>
  </si>
  <si>
    <t>번호</t>
    <phoneticPr fontId="2" type="noConversion"/>
  </si>
  <si>
    <t>중요도</t>
    <phoneticPr fontId="2" type="noConversion"/>
  </si>
  <si>
    <t>체크사항</t>
    <phoneticPr fontId="2" type="noConversion"/>
  </si>
  <si>
    <t>체크</t>
    <phoneticPr fontId="2" type="noConversion"/>
  </si>
  <si>
    <t>기본사항</t>
    <phoneticPr fontId="2" type="noConversion"/>
  </si>
  <si>
    <t>필수</t>
    <phoneticPr fontId="2" type="noConversion"/>
  </si>
  <si>
    <t>Thumnail</t>
    <phoneticPr fontId="2" type="noConversion"/>
  </si>
  <si>
    <t>idShort 설정여부</t>
    <phoneticPr fontId="2" type="noConversion"/>
  </si>
  <si>
    <t>idShort가 설정되어 있는지 확인한다.</t>
    <phoneticPr fontId="2" type="noConversion"/>
  </si>
  <si>
    <t>Id</t>
    <phoneticPr fontId="2" type="noConversion"/>
  </si>
  <si>
    <t>Id 버전</t>
    <phoneticPr fontId="2" type="noConversion"/>
  </si>
  <si>
    <t>옵션</t>
    <phoneticPr fontId="2" type="noConversion"/>
  </si>
  <si>
    <t>description 또는 definition 여부</t>
    <phoneticPr fontId="2" type="noConversion"/>
  </si>
  <si>
    <t>Submodel 구성</t>
    <phoneticPr fontId="2" type="noConversion"/>
  </si>
  <si>
    <t>globalAssetId 여부</t>
    <phoneticPr fontId="2" type="noConversion"/>
  </si>
  <si>
    <t>globalAssetId가 설정되어 있는지 확인한다.</t>
    <phoneticPr fontId="2" type="noConversion"/>
  </si>
  <si>
    <t>Type종류</t>
    <phoneticPr fontId="2" type="noConversion"/>
  </si>
  <si>
    <t>Submodel</t>
    <phoneticPr fontId="2" type="noConversion"/>
  </si>
  <si>
    <t>Semantic ID</t>
    <phoneticPr fontId="2" type="noConversion"/>
  </si>
  <si>
    <t>kind</t>
    <phoneticPr fontId="2" type="noConversion"/>
  </si>
  <si>
    <t>value 값 여부</t>
    <phoneticPr fontId="2" type="noConversion"/>
  </si>
  <si>
    <t>ConceptDescription</t>
    <phoneticPr fontId="2" type="noConversion"/>
  </si>
  <si>
    <t>-</t>
    <phoneticPr fontId="2" type="noConversion"/>
  </si>
  <si>
    <t>정보</t>
    <phoneticPr fontId="2" type="noConversion"/>
  </si>
  <si>
    <t>IRDI 관련 내용</t>
    <phoneticPr fontId="2" type="noConversion"/>
  </si>
  <si>
    <t>IRI 양식</t>
    <phoneticPr fontId="2" type="noConversion"/>
  </si>
  <si>
    <t>분류</t>
    <phoneticPr fontId="2" type="noConversion"/>
  </si>
  <si>
    <t>기준항목</t>
    <phoneticPr fontId="2" type="noConversion"/>
  </si>
  <si>
    <t>세부항목</t>
    <phoneticPr fontId="2" type="noConversion"/>
  </si>
  <si>
    <t>개수</t>
    <phoneticPr fontId="2" type="noConversion"/>
  </si>
  <si>
    <t>%</t>
    <phoneticPr fontId="2" type="noConversion"/>
  </si>
  <si>
    <t>단순통계</t>
    <phoneticPr fontId="2" type="noConversion"/>
  </si>
  <si>
    <t>합계</t>
    <phoneticPr fontId="2" type="noConversion"/>
  </si>
  <si>
    <t>'중요도'기준 통계</t>
    <phoneticPr fontId="2" type="noConversion"/>
  </si>
  <si>
    <t>AAS Model Checklist Result</t>
    <phoneticPr fontId="2" type="noConversion"/>
  </si>
  <si>
    <t>AAS Model Checklist Information</t>
    <phoneticPr fontId="2" type="noConversion"/>
  </si>
  <si>
    <t>AAS 모델링시 참조한 표준 및 근거자료에 대한 버전을 확인한다.
예시) CDD 버전, eCl@ss 버전, ETIM 버전 등</t>
    <phoneticPr fontId="2" type="noConversion"/>
  </si>
  <si>
    <t></t>
    <phoneticPr fontId="2" type="noConversion"/>
  </si>
  <si>
    <t></t>
    <phoneticPr fontId="2" type="noConversion"/>
  </si>
  <si>
    <r>
      <t xml:space="preserve">"필수" 中 </t>
    </r>
    <r>
      <rPr>
        <sz val="10"/>
        <color theme="1"/>
        <rFont val="Wingdings"/>
        <family val="2"/>
        <charset val="2"/>
      </rPr>
      <t></t>
    </r>
    <phoneticPr fontId="2" type="noConversion"/>
  </si>
  <si>
    <r>
      <t xml:space="preserve">"필수" 中 </t>
    </r>
    <r>
      <rPr>
        <sz val="10"/>
        <color theme="1"/>
        <rFont val="Wingdings"/>
        <family val="2"/>
        <charset val="2"/>
      </rPr>
      <t></t>
    </r>
    <phoneticPr fontId="2" type="noConversion"/>
  </si>
  <si>
    <r>
      <t xml:space="preserve">"옵션" 中 </t>
    </r>
    <r>
      <rPr>
        <sz val="10"/>
        <color theme="1"/>
        <rFont val="Wingdings"/>
        <family val="2"/>
        <charset val="2"/>
      </rPr>
      <t></t>
    </r>
    <phoneticPr fontId="2" type="noConversion"/>
  </si>
  <si>
    <r>
      <t xml:space="preserve">"옵션" 中 </t>
    </r>
    <r>
      <rPr>
        <sz val="10"/>
        <color theme="1"/>
        <rFont val="Wingdings"/>
        <family val="2"/>
        <charset val="2"/>
      </rPr>
      <t></t>
    </r>
    <phoneticPr fontId="2" type="noConversion"/>
  </si>
  <si>
    <t>definition 여부</t>
    <phoneticPr fontId="2" type="noConversion"/>
  </si>
  <si>
    <t>추가 검토사항</t>
    <phoneticPr fontId="2" type="noConversion"/>
  </si>
  <si>
    <t>2. 소속</t>
    <phoneticPr fontId="2" type="noConversion"/>
  </si>
  <si>
    <t>1. 검토자</t>
    <phoneticPr fontId="2" type="noConversion"/>
  </si>
  <si>
    <t>3. 검토일</t>
    <phoneticPr fontId="2" type="noConversion"/>
  </si>
  <si>
    <t>4. 검토사항</t>
    <phoneticPr fontId="2" type="noConversion"/>
  </si>
  <si>
    <t>5. 기타사항</t>
    <phoneticPr fontId="2" type="noConversion"/>
  </si>
  <si>
    <r>
      <t xml:space="preserve">Semantic ID가 작성되어 있는지 확인한다. 
</t>
    </r>
    <r>
      <rPr>
        <sz val="10"/>
        <color theme="1"/>
        <rFont val="맑은 고딕"/>
        <family val="3"/>
        <charset val="129"/>
      </rPr>
      <t>표준 서브모델이 아닌 경우, 적절한 형식의 IRI 식별자인지 확인한다.</t>
    </r>
    <phoneticPr fontId="2" type="noConversion"/>
  </si>
  <si>
    <t>idShort 명명규칙</t>
    <phoneticPr fontId="2" type="noConversion"/>
  </si>
  <si>
    <t>'kind'가 'Type'으로 지정되어 있는지 확인한다.</t>
    <phoneticPr fontId="2" type="noConversion"/>
  </si>
  <si>
    <t>'kind'가 'Template'으로 지정되어 있는지 확인한다</t>
    <phoneticPr fontId="2" type="noConversion"/>
  </si>
  <si>
    <t>비고 (검토의견)</t>
    <phoneticPr fontId="2" type="noConversion"/>
  </si>
  <si>
    <t>체크리스트
참조/공통체크사항</t>
    <phoneticPr fontId="2" type="noConversion"/>
  </si>
  <si>
    <t>AAS</t>
    <phoneticPr fontId="2" type="noConversion"/>
  </si>
  <si>
    <t>※ "AAS Model Checklist" sheet에서 각 체크사항에 대해 충족/불충족 항목들에 대한 개수를 정리한 시트입니다.</t>
    <phoneticPr fontId="2" type="noConversion"/>
  </si>
  <si>
    <t>체크사항 불충족 항목</t>
    <phoneticPr fontId="2" type="noConversion"/>
  </si>
  <si>
    <t>체크사항 충족 항목</t>
    <phoneticPr fontId="2" type="noConversion"/>
  </si>
  <si>
    <t>필수 체크사항 충족 항목</t>
    <phoneticPr fontId="2" type="noConversion"/>
  </si>
  <si>
    <t>필수 체크사항 불충족 항목</t>
    <phoneticPr fontId="2" type="noConversion"/>
  </si>
  <si>
    <t>옵션 체크사항 충족 항목</t>
    <phoneticPr fontId="2" type="noConversion"/>
  </si>
  <si>
    <t>옵션 체크사항 불충족 항목</t>
    <phoneticPr fontId="2" type="noConversion"/>
  </si>
  <si>
    <t>총 체크사항</t>
    <phoneticPr fontId="2" type="noConversion"/>
  </si>
  <si>
    <t>기타</t>
    <phoneticPr fontId="2" type="noConversion"/>
  </si>
  <si>
    <t>\</t>
    <phoneticPr fontId="2" type="noConversion"/>
  </si>
  <si>
    <t>- IDTA가 배포한 서브모델 내부에 자체적으로 포함되어 있는 오류에 대해서는 수정하지 않아야 한다.
- Ecl@ss, CDD에서 정의되어 있지 않은 definition은 자체적으로 정의하지 않고 그대로 사용하여야 한다.
- Property의 완성도 및 충실도에 대한 정성적 평가를 진행한다. 즉, 본 체크리스트를 통해 정량적으로 평가하지는 않지만, 이후 전문가들에 의해 Property 개수, Property 의미 등이 정성적으로 평가될 예정이다.</t>
    <phoneticPr fontId="2" type="noConversion"/>
  </si>
  <si>
    <t>valueType이 설정되어야 하며, 
연결된 Concept Description의 dataType과 매칭되는 데이터 타입으로 설정되어야 한다</t>
    <phoneticPr fontId="2" type="noConversion"/>
  </si>
  <si>
    <t>dataType 설정여부</t>
    <phoneticPr fontId="2" type="noConversion"/>
  </si>
  <si>
    <t>각 항목의 Id 양식을 확인하고, IRDI 형식인지 IRI 형식인지 구분한다.
IRDI인 경우, 해당 항목이 CDD/Ecl@ss에 존재하여야 한다.
IRI인 경우, 정해진 양식을 준수하고 있는지 확인한다.</t>
    <phoneticPr fontId="2" type="noConversion"/>
  </si>
  <si>
    <t xml:space="preserve">작성하려는 항목의 IRDI가 CDD/eCl@ss에 존재하여야 하며, CDD/eCl@ss에 정의된 내용과 모두 일치해야만 CDD/eCl@ss에서 정의된 Semantic Id를 사용할 수 있다.
(예: 단위, 데이터 타입 등이 일부라도 일치하지 않으면 사용할 수 없다) </t>
    <phoneticPr fontId="2" type="noConversion"/>
  </si>
  <si>
    <t>공통</t>
    <phoneticPr fontId="2" type="noConversion"/>
  </si>
  <si>
    <t>최신 Version 여부</t>
    <phoneticPr fontId="2" type="noConversion"/>
  </si>
  <si>
    <t>IDTA 서브모델 템플릿을 활용하는 경우, 최신 버전의 템플릿을 사용하고 있는지 확인한다.</t>
    <phoneticPr fontId="2" type="noConversion"/>
  </si>
  <si>
    <t>계층 세분화</t>
    <phoneticPr fontId="2" type="noConversion"/>
  </si>
  <si>
    <t>Concept Description 매핑여부</t>
    <phoneticPr fontId="2" type="noConversion"/>
  </si>
  <si>
    <t>Concept Description과 
data type 매칭여부</t>
    <phoneticPr fontId="2" type="noConversion"/>
  </si>
  <si>
    <t>특수 SME 배제 여부</t>
    <phoneticPr fontId="2" type="noConversion"/>
  </si>
  <si>
    <t>AAS Model 정량적 검토 Checklist</t>
    <phoneticPr fontId="2" type="noConversion"/>
  </si>
  <si>
    <t>* 본 체크리스트는 2026년 중소기업벤처부 과제공고 기준을 대상으로 제작하였습니다.</t>
    <phoneticPr fontId="2" type="noConversion"/>
  </si>
  <si>
    <t xml:space="preserve">SME
(Submodel Element) </t>
    <phoneticPr fontId="2" type="noConversion"/>
  </si>
  <si>
    <t>SME 중
Property</t>
    <phoneticPr fontId="2" type="noConversion"/>
  </si>
  <si>
    <t xml:space="preserve">Submodel Elements가 Concept Description과 올바르게 매핑되어 있는지 확인한다 </t>
    <phoneticPr fontId="2" type="noConversion"/>
  </si>
  <si>
    <t>장비특화 Submodel 구성</t>
    <phoneticPr fontId="2" type="noConversion"/>
  </si>
  <si>
    <t>해당 항목에 대한 description 또는 definition이 작성되어 있는지 확인한다.
모든 서브모델 엘리먼트는 시맨틱 정보를 정의하는 정상적인 Concept Description(CD)을 가져야 함 
정상적인 CD란 Preferred Name, Definition를 필수 포함하고, 선택적으로 적절한 DataType, Unit이 포함되어야 함 
단, Definition의 경우 영문으로 작성된 정의는 반드시 포함되어야 함</t>
    <phoneticPr fontId="2" type="noConversion"/>
  </si>
  <si>
    <r>
      <t xml:space="preserve">① IDTA가 배포한 서브모델 내부에 자체적으로 포함되어 있는 오류에 대해서는 수정하지 않아야 한다.
예시) IRDI 2개 포함, definition 미작성 등 
② Ecl@ss, CDD에서 정의되어 있지 않은 definition은 자체적으로 정의하지 않고 그대로 사용하여야 한다.
</t>
    </r>
    <r>
      <rPr>
        <sz val="10"/>
        <color theme="1"/>
        <rFont val="맑은 고딕"/>
        <family val="3"/>
        <charset val="129"/>
      </rPr>
      <t>③ Property의 완성도 및 충실도에 대한 정성적 평가를 진행한다. 즉, 본 체크리스트를 통해 정량적으로 평가하지는 않지만, 이후 전문가들에 의해 Property 개수, Property 의미 등이 정성적으로 평가될 예정이다.</t>
    </r>
    <r>
      <rPr>
        <sz val="10"/>
        <color theme="1"/>
        <rFont val="맑은 고딕"/>
        <family val="3"/>
        <charset val="129"/>
        <scheme val="minor"/>
      </rPr>
      <t xml:space="preserve">
</t>
    </r>
    <r>
      <rPr>
        <b/>
        <sz val="10"/>
        <color theme="1"/>
        <rFont val="맑은 고딕"/>
        <family val="3"/>
        <charset val="129"/>
      </rPr>
      <t>④ Technical Data, Operational Data 서브모델 포함(단, Digital Nameplate, Handover Documentation 서브모델 제외) "설비/장비의 특징을 반영하는" 최소 4개 서브모델에 대해서는, 장비 특화 추가 프로퍼티 항목에 대한 value example을  참조모델 및 활용 가이던스 문서에 제시해야 한다.</t>
    </r>
    <r>
      <rPr>
        <sz val="10"/>
        <color theme="1"/>
        <rFont val="맑은 고딕"/>
        <family val="3"/>
        <charset val="129"/>
      </rPr>
      <t xml:space="preserve">
</t>
    </r>
    <r>
      <rPr>
        <sz val="10"/>
        <color theme="1"/>
        <rFont val="맑은 고딕"/>
        <family val="2"/>
        <charset val="129"/>
      </rPr>
      <t>⑤ 모</t>
    </r>
    <r>
      <rPr>
        <sz val="10"/>
        <color theme="1"/>
        <rFont val="맑은 고딕"/>
        <family val="3"/>
        <charset val="129"/>
      </rPr>
      <t>델 제출 시에는 "「AAS 제조데이터 표준 참조모델 사전 검증 보고서」 작성 요령"에 따라 사전 검증보고서를 제출하여야 한다.</t>
    </r>
    <phoneticPr fontId="2" type="noConversion"/>
  </si>
  <si>
    <t>AASX 파일에 Thumbnail 이미지가 포함되어 있으며, AssetInformation의 defaultThumbnail에 동일한 경로가 설정되어 있는지 확인한다.</t>
    <phoneticPr fontId="2" type="noConversion"/>
  </si>
  <si>
    <r>
      <t>AAS 모델링에서 필수적인 성격을 지닌 아래의 4가지 Submodel이 포함되어 있으며</t>
    </r>
    <r>
      <rPr>
        <b/>
        <sz val="10"/>
        <color theme="1"/>
        <rFont val="맑은 고딕"/>
        <family val="3"/>
        <charset val="129"/>
        <scheme val="minor"/>
      </rPr>
      <t xml:space="preserve"> 총 6종 이상 8종 이하의 Submodel로 구성되어 있는지 확인한다.</t>
    </r>
    <r>
      <rPr>
        <sz val="10"/>
        <color theme="1"/>
        <rFont val="맑은 고딕"/>
        <family val="3"/>
        <charset val="129"/>
        <scheme val="minor"/>
      </rPr>
      <t xml:space="preserve">
① </t>
    </r>
    <r>
      <rPr>
        <b/>
        <sz val="10"/>
        <color theme="1"/>
        <rFont val="맑은 고딕"/>
        <family val="3"/>
        <charset val="129"/>
        <scheme val="minor"/>
      </rPr>
      <t>Digital Nameplate</t>
    </r>
    <r>
      <rPr>
        <sz val="10"/>
        <color theme="1"/>
        <rFont val="맑은 고딕"/>
        <family val="3"/>
        <charset val="129"/>
        <scheme val="minor"/>
      </rPr>
      <t xml:space="preserve">, ② </t>
    </r>
    <r>
      <rPr>
        <b/>
        <sz val="10"/>
        <color theme="1"/>
        <rFont val="맑은 고딕"/>
        <family val="3"/>
        <charset val="129"/>
      </rPr>
      <t>Handover Documentation,</t>
    </r>
    <r>
      <rPr>
        <sz val="10"/>
        <color theme="1"/>
        <rFont val="맑은 고딕"/>
        <family val="3"/>
        <charset val="129"/>
        <scheme val="minor"/>
      </rPr>
      <t xml:space="preserve">
③ Technical Data, ④ </t>
    </r>
    <r>
      <rPr>
        <sz val="10"/>
        <color theme="1"/>
        <rFont val="맑은 고딕"/>
        <family val="3"/>
        <charset val="129"/>
      </rPr>
      <t>Operational Data</t>
    </r>
    <phoneticPr fontId="2" type="noConversion"/>
  </si>
  <si>
    <t>해당 항목에 대한 definition이 작성되어 있는지 확인한다.
* description이 작성되어 있는 경우도 포함</t>
    <phoneticPr fontId="2" type="noConversion"/>
  </si>
  <si>
    <t>각 항목의 Id 양식을 확인하고, IRDI 형식인지 IRI 형식인지 구분한다.
* IRDI인 경우, 해당 항목이 CDD/Ecl@ss에 존재하여야 한다.
* IRI인 경우, 정해진 양식을 준수하고 있는지 확인한다.</t>
    <phoneticPr fontId="2" type="noConversion"/>
  </si>
  <si>
    <r>
      <t>idShort가 정의된 양식을 준수하고 있는지 확인한다.
※ 예외사항</t>
    </r>
    <r>
      <rPr>
        <b/>
        <strike/>
        <sz val="10"/>
        <color theme="1"/>
        <rFont val="맑은 고딕"/>
        <family val="3"/>
        <charset val="129"/>
        <scheme val="minor"/>
      </rPr>
      <t xml:space="preserve">
</t>
    </r>
    <r>
      <rPr>
        <b/>
        <sz val="10"/>
        <color rgb="FFFF0000"/>
        <rFont val="맑은 고딕"/>
        <family val="3"/>
        <charset val="129"/>
      </rPr>
      <t>Submodel Element List의 하위에 속하는 Submodel Element는 idShort를 작성하지 않아도 되며, 작성하는 경우 명명규칙을 준수하여야 함</t>
    </r>
    <phoneticPr fontId="2" type="noConversion"/>
  </si>
  <si>
    <r>
      <t xml:space="preserve">각 항목의 Id 양식을 확인하고, IRDI 형식인지 IRI 형식인지 구분한다.
IRI인 경우, 정해진 양식을 준수하고 있는지 확인한다.
</t>
    </r>
    <r>
      <rPr>
        <b/>
        <sz val="10"/>
        <color rgb="FFFF0000"/>
        <rFont val="맑은 고딕"/>
        <family val="3"/>
        <charset val="129"/>
      </rPr>
      <t>* administration에 버전 정보를 입력하고 ID 뒷부분 '/version' 과 일치 시킬것</t>
    </r>
    <phoneticPr fontId="2" type="noConversion"/>
  </si>
  <si>
    <r>
      <t xml:space="preserve">장비 특화 프로퍼티를 포함하는 서브모델이 2단계 이상의 계층 세분화가 되었는지 확인한다.
※ 예외사항
* IDTA 기본 템플릿은 계층 세분화에서 제외하며, Technical Data 서브모델의 경우 표준 구조 이외 세분화가 2단계 이상이어야 한다.
</t>
    </r>
    <r>
      <rPr>
        <b/>
        <sz val="10"/>
        <color rgb="FFFF0000"/>
        <rFont val="맑은 고딕"/>
        <family val="3"/>
        <charset val="129"/>
      </rPr>
      <t>* 각 계층과 컬렉션은 명확한 분류 목적을 가져야 하며, 별도의 모델링 근거 없이 단순히 하위 요소만을 포함하는 중간 SMC는 계층 세분화 요건을 충족하지 않은 것으로 판단함.</t>
    </r>
    <phoneticPr fontId="2" type="noConversion"/>
  </si>
  <si>
    <r>
      <t xml:space="preserve">AAS 참조모델 개발 시 사용을 지양하는 Operation, BasicEventElement, </t>
    </r>
    <r>
      <rPr>
        <b/>
        <sz val="10"/>
        <color rgb="FFFF0000"/>
        <rFont val="맑은 고딕"/>
        <family val="3"/>
        <charset val="129"/>
      </rPr>
      <t xml:space="preserve">Capability </t>
    </r>
    <r>
      <rPr>
        <b/>
        <sz val="10"/>
        <color theme="1"/>
        <rFont val="맑은 고딕"/>
        <family val="3"/>
        <charset val="129"/>
        <scheme val="minor"/>
      </rPr>
      <t>엘리먼트가 사용되지 않았는지 확인한다.</t>
    </r>
    <phoneticPr fontId="2" type="noConversion"/>
  </si>
  <si>
    <r>
      <t xml:space="preserve">value값에 Example Data가 기입 되었는지 확인한다. 
</t>
    </r>
    <r>
      <rPr>
        <b/>
        <sz val="10"/>
        <color rgb="FFFF0000"/>
        <rFont val="맑은 고딕"/>
        <family val="3"/>
        <charset val="129"/>
      </rPr>
      <t>* DigitalNameplate, HandoverDocumentation 제외</t>
    </r>
    <phoneticPr fontId="2" type="noConversion"/>
  </si>
  <si>
    <t>Concept Description의 dataType이 설정되어 있는지 확인한다
* eCl@ss/CDD에서 dataType이 정의되어 있지 않은 경우는 제외</t>
    <phoneticPr fontId="2" type="noConversion"/>
  </si>
  <si>
    <r>
      <t xml:space="preserve">
구조 : 
- Submodel: </t>
    </r>
    <r>
      <rPr>
        <u/>
        <sz val="10"/>
        <color theme="1"/>
        <rFont val="맑은 고딕"/>
        <family val="3"/>
        <charset val="129"/>
      </rPr>
      <t xml:space="preserve">KOSMO 홈페이지주소/ids/sm/AAS명/Submodel명/version
</t>
    </r>
    <r>
      <rPr>
        <sz val="10"/>
        <color theme="1"/>
        <rFont val="맑은 고딕"/>
        <family val="3"/>
        <charset val="129"/>
        <scheme val="minor"/>
      </rPr>
      <t xml:space="preserve">예시) https://www.smart-factory.kr/ids/sm/ACB/TechnicalData/1/0
- Submodel 외 항목: </t>
    </r>
    <r>
      <rPr>
        <u/>
        <sz val="10"/>
        <color theme="1"/>
        <rFont val="맑은 고딕"/>
        <family val="3"/>
        <charset val="129"/>
        <scheme val="minor"/>
      </rPr>
      <t xml:space="preserve">KOSMO 홈페이지주소/ids/카테고리/변수명/version
</t>
    </r>
    <r>
      <rPr>
        <sz val="10"/>
        <color theme="1"/>
        <rFont val="맑은 고딕"/>
        <family val="3"/>
        <charset val="129"/>
        <scheme val="minor"/>
      </rPr>
      <t xml:space="preserve">예시) https://www.smart-factory.kr/ids/cd/TypeOfActuator/1/0
       https://www.smart-factory.kr/ids/aas/ACB/1/0
</t>
    </r>
    <r>
      <rPr>
        <sz val="10"/>
        <color theme="1"/>
        <rFont val="맑은 고딕"/>
        <family val="3"/>
        <charset val="129"/>
      </rPr>
      <t xml:space="preserve">* IDTA 표준 서브모델 템플릿을 사용한 경우에는 IRI를 변경하지 않고, 그대로 사용해야 한다. 단, 서브모델의 Id는 IDTA에서 정의한 IRI가 있더라도 중기부에서 정의한 구조를 사용해야 한다.
</t>
    </r>
    <r>
      <rPr>
        <b/>
        <sz val="10"/>
        <color rgb="FFFF0000"/>
        <rFont val="맑은 고딕"/>
        <family val="2"/>
        <charset val="129"/>
      </rPr>
      <t>* AAS와 Submodel에 한하여 administration에 버전 정보를 입력하고 ID 뒷부분 '/version' 과 일치 시킬것</t>
    </r>
    <r>
      <rPr>
        <sz val="10"/>
        <color theme="1"/>
        <rFont val="맑은 고딕"/>
        <family val="3"/>
        <charset val="129"/>
      </rPr>
      <t xml:space="preserve">
</t>
    </r>
    <r>
      <rPr>
        <sz val="10"/>
        <color theme="1"/>
        <rFont val="맑은 고딕"/>
        <family val="3"/>
        <charset val="129"/>
        <scheme val="minor"/>
      </rPr>
      <t xml:space="preserve">
* 용어설명
sm: Submodel
cd : ConceptDescription
aas : AAS
        </t>
    </r>
    <phoneticPr fontId="2" type="noConversion"/>
  </si>
  <si>
    <r>
      <rPr>
        <b/>
        <sz val="10"/>
        <color theme="1"/>
        <rFont val="맑은 고딕"/>
        <family val="3"/>
        <charset val="129"/>
        <scheme val="minor"/>
      </rPr>
      <t xml:space="preserve">Technical Data 및 Operational Data를 포함한 장비특화 서브모델에서 Property를 추가할 경우 2단계 이상의 계층 세분화가 되어야 한다.
* Technical Data 서브모델 세분화는 IDTA 표준 구조 이후 장비특화 계층이 2단계 이상이어야 한다
</t>
    </r>
    <r>
      <rPr>
        <b/>
        <sz val="10"/>
        <color rgb="FFFF0000"/>
        <rFont val="맑은 고딕"/>
        <family val="3"/>
        <charset val="129"/>
      </rPr>
      <t>* 각 계층과 컬렉션은 명확한 분류 목적을 가져야 하며, 별도의 모델링 근거 없이 단순히 하위 요소만을 포함하는 중간 SMC는 계층 세분화 요건을 충족하지 않은 것으로 판단함.</t>
    </r>
    <r>
      <rPr>
        <b/>
        <sz val="10"/>
        <color rgb="FF0070C0"/>
        <rFont val="맑은 고딕"/>
        <family val="2"/>
        <charset val="129"/>
        <scheme val="minor"/>
      </rPr>
      <t xml:space="preserve">
</t>
    </r>
    <phoneticPr fontId="2" type="noConversion"/>
  </si>
  <si>
    <r>
      <t>idShort가 설정되어 있는지 확인한다.
* Naming rule/Convention (권고사항)
① 공백, 특수문</t>
    </r>
    <r>
      <rPr>
        <sz val="10"/>
        <color theme="1"/>
        <rFont val="맑은 고딕"/>
        <family val="3"/>
        <charset val="129"/>
        <scheme val="minor"/>
      </rPr>
      <t xml:space="preserve">자(‘_’, underbar, </t>
    </r>
    <r>
      <rPr>
        <sz val="10"/>
        <color rgb="FFFF0000"/>
        <rFont val="맑은 고딕"/>
        <family val="3"/>
        <charset val="129"/>
      </rPr>
      <t xml:space="preserve">‘-‘, hyphen </t>
    </r>
    <r>
      <rPr>
        <sz val="10"/>
        <color theme="1"/>
        <rFont val="맑은 고딕"/>
        <family val="3"/>
        <charset val="129"/>
        <scheme val="minor"/>
      </rPr>
      <t>제외)를</t>
    </r>
    <r>
      <rPr>
        <sz val="10"/>
        <color rgb="FF000000"/>
        <rFont val="맑은 고딕"/>
        <family val="3"/>
        <charset val="129"/>
        <scheme val="minor"/>
      </rPr>
      <t xml:space="preserve"> 포함하지 않음
② 일관된 표기법 사용 / 예) 모든 단어를 띄어쓰기 없이 대문자로 시작
예시) "Rated voltage" -&gt; "RatedVoltage" 또는 "Rated_Voltage" 등등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</si>
</sst>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theme="1"/>
      <name val="Arial Unicode MS"/>
      <family val="3"/>
      <charset val="129"/>
    </font>
    <font>
      <sz val="10"/>
      <color theme="1"/>
      <name val="맑은 고딕"/>
      <family val="2"/>
      <charset val="129"/>
      <scheme val="minor"/>
    </font>
    <font>
      <b/>
      <sz val="14"/>
      <color theme="0"/>
      <name val="맑은 고딕"/>
      <family val="3"/>
      <charset val="129"/>
      <scheme val="minor"/>
    </font>
    <font>
      <sz val="10"/>
      <color theme="1"/>
      <name val="Wingdings"/>
      <family val="2"/>
      <charset val="2"/>
    </font>
    <font>
      <sz val="10"/>
      <color theme="1"/>
      <name val="맑은 고딕"/>
      <family val="3"/>
      <charset val="129"/>
    </font>
    <font>
      <sz val="11"/>
      <color rgb="FF00B050"/>
      <name val="맑은 고딕"/>
      <family val="3"/>
      <charset val="129"/>
      <scheme val="minor"/>
    </font>
    <font>
      <strike/>
      <sz val="10"/>
      <color rgb="FF00B050"/>
      <name val="맑은 고딕"/>
      <family val="3"/>
      <charset val="129"/>
      <scheme val="minor"/>
    </font>
    <font>
      <strike/>
      <sz val="11"/>
      <color rgb="FF00B05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6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ajor"/>
    </font>
    <font>
      <u/>
      <sz val="10"/>
      <color theme="1"/>
      <name val="맑은 고딕"/>
      <family val="3"/>
      <charset val="129"/>
    </font>
    <font>
      <u/>
      <sz val="10"/>
      <color theme="1"/>
      <name val="맑은 고딕"/>
      <family val="3"/>
      <charset val="129"/>
      <scheme val="minor"/>
    </font>
    <font>
      <b/>
      <sz val="10"/>
      <color theme="1"/>
      <name val="Arial Unicode MS"/>
      <family val="3"/>
      <charset val="129"/>
    </font>
    <font>
      <b/>
      <sz val="10"/>
      <color rgb="FF0070C0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b/>
      <sz val="10"/>
      <color rgb="FF0070C0"/>
      <name val="맑은 고딕"/>
      <family val="2"/>
      <charset val="129"/>
      <scheme val="minor"/>
    </font>
    <font>
      <b/>
      <strike/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b/>
      <sz val="10"/>
      <color rgb="FFFF0000"/>
      <name val="맑은 고딕"/>
      <family val="2"/>
      <charset val="129"/>
    </font>
    <font>
      <sz val="10"/>
      <color rgb="FFFF0000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0000FF"/>
        <bgColor indexed="64"/>
      </patternFill>
    </fill>
    <fill>
      <patternFill patternType="solid">
        <fgColor rgb="FFC0CC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0" fontId="1" fillId="2" borderId="1" applyNumberFormat="0" applyFont="0" applyAlignment="0" applyProtection="0">
      <alignment vertical="center"/>
    </xf>
  </cellStyleXfs>
  <cellXfs count="89">
    <xf numFmtId="0" fontId="0" fillId="0" borderId="0" xfId="0">
      <alignment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quotePrefix="1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4" fillId="0" borderId="0" xfId="0" applyFont="1">
      <alignment vertical="center"/>
    </xf>
    <xf numFmtId="0" fontId="5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0" xfId="0" applyFont="1">
      <alignment vertical="center"/>
    </xf>
    <xf numFmtId="0" fontId="3" fillId="0" borderId="0" xfId="0" applyFont="1">
      <alignment vertical="center"/>
    </xf>
    <xf numFmtId="0" fontId="8" fillId="2" borderId="2" xfId="1" applyFont="1" applyBorder="1" applyAlignment="1">
      <alignment horizontal="center" vertical="center"/>
    </xf>
    <xf numFmtId="0" fontId="8" fillId="2" borderId="2" xfId="1" quotePrefix="1" applyFont="1" applyBorder="1" applyAlignment="1">
      <alignment horizontal="center" vertical="center"/>
    </xf>
    <xf numFmtId="0" fontId="8" fillId="2" borderId="2" xfId="1" quotePrefix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2" xfId="0" quotePrefix="1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0" borderId="0" xfId="0" applyFont="1">
      <alignment vertical="center"/>
    </xf>
    <xf numFmtId="0" fontId="0" fillId="0" borderId="0" xfId="0" applyAlignment="1">
      <alignment vertical="center" wrapText="1"/>
    </xf>
    <xf numFmtId="0" fontId="11" fillId="0" borderId="0" xfId="0" quotePrefix="1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quotePrefix="1" applyFont="1" applyAlignment="1">
      <alignment vertical="center" wrapText="1"/>
    </xf>
    <xf numFmtId="0" fontId="0" fillId="0" borderId="0" xfId="0" applyAlignment="1">
      <alignment horizontal="center" vertical="center"/>
    </xf>
    <xf numFmtId="0" fontId="12" fillId="0" borderId="0" xfId="0" applyFont="1">
      <alignment vertical="center"/>
    </xf>
    <xf numFmtId="0" fontId="13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5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6" fillId="4" borderId="2" xfId="0" applyFont="1" applyFill="1" applyBorder="1" applyAlignment="1">
      <alignment horizontal="center" vertical="center"/>
    </xf>
    <xf numFmtId="0" fontId="4" fillId="0" borderId="2" xfId="0" quotePrefix="1" applyFont="1" applyBorder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10" fillId="0" borderId="0" xfId="0" applyFont="1">
      <alignment vertical="center"/>
    </xf>
    <xf numFmtId="0" fontId="18" fillId="0" borderId="2" xfId="0" applyFont="1" applyBorder="1" applyAlignment="1">
      <alignment horizontal="center" vertical="center"/>
    </xf>
    <xf numFmtId="0" fontId="18" fillId="6" borderId="2" xfId="0" applyFont="1" applyFill="1" applyBorder="1" applyAlignment="1">
      <alignment horizontal="center" vertical="center"/>
    </xf>
    <xf numFmtId="0" fontId="4" fillId="0" borderId="2" xfId="0" applyFont="1" applyBorder="1">
      <alignment vertical="center"/>
    </xf>
    <xf numFmtId="0" fontId="6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8" fillId="0" borderId="2" xfId="0" quotePrefix="1" applyFont="1" applyBorder="1" applyAlignment="1">
      <alignment vertical="center" wrapText="1"/>
    </xf>
    <xf numFmtId="0" fontId="5" fillId="0" borderId="2" xfId="0" quotePrefix="1" applyFont="1" applyBorder="1" applyAlignment="1">
      <alignment horizontal="center" vertical="center"/>
    </xf>
    <xf numFmtId="0" fontId="4" fillId="0" borderId="2" xfId="0" applyFont="1" applyBorder="1" applyAlignment="1">
      <alignment vertical="center" wrapText="1"/>
    </xf>
    <xf numFmtId="0" fontId="8" fillId="0" borderId="2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1" fillId="0" borderId="2" xfId="0" applyFont="1" applyBorder="1" applyAlignment="1">
      <alignment horizontal="center" vertical="center"/>
    </xf>
    <xf numFmtId="0" fontId="11" fillId="0" borderId="2" xfId="0" quotePrefix="1" applyFont="1" applyBorder="1" applyAlignment="1">
      <alignment vertical="center" wrapText="1"/>
    </xf>
    <xf numFmtId="0" fontId="22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2" xfId="0" quotePrefix="1" applyFont="1" applyBorder="1" applyAlignment="1">
      <alignment horizontal="left" vertical="center" wrapText="1"/>
    </xf>
    <xf numFmtId="0" fontId="27" fillId="0" borderId="2" xfId="0" applyFont="1" applyBorder="1" applyAlignment="1">
      <alignment horizontal="left" vertical="center" wrapText="1"/>
    </xf>
    <xf numFmtId="0" fontId="5" fillId="0" borderId="6" xfId="0" quotePrefix="1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49" fontId="4" fillId="0" borderId="6" xfId="0" quotePrefix="1" applyNumberFormat="1" applyFont="1" applyBorder="1" applyAlignment="1">
      <alignment horizontal="left" vertical="center" wrapText="1"/>
    </xf>
    <xf numFmtId="49" fontId="4" fillId="0" borderId="7" xfId="0" quotePrefix="1" applyNumberFormat="1" applyFont="1" applyBorder="1" applyAlignment="1">
      <alignment horizontal="left" vertical="center"/>
    </xf>
    <xf numFmtId="49" fontId="4" fillId="0" borderId="8" xfId="0" quotePrefix="1" applyNumberFormat="1" applyFont="1" applyBorder="1" applyAlignment="1">
      <alignment horizontal="left" vertical="center"/>
    </xf>
    <xf numFmtId="0" fontId="5" fillId="5" borderId="3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5" fillId="5" borderId="2" xfId="0" quotePrefix="1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0" borderId="2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quotePrefix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17" fillId="3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6" fillId="4" borderId="3" xfId="0" applyFon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</cellXfs>
  <cellStyles count="2">
    <cellStyle name="메모" xfId="1" builtinId="10"/>
    <cellStyle name="표준" xfId="0" builtinId="0"/>
  </cellStyles>
  <dxfs count="0"/>
  <tableStyles count="0" defaultTableStyle="TableStyleMedium2" defaultPivotStyle="PivotStyleLight16"/>
  <colors>
    <mruColors>
      <color rgb="FF0000FF"/>
      <color rgb="FFFFFFCC"/>
      <color rgb="FFC0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142257</xdr:colOff>
      <xdr:row>5</xdr:row>
      <xdr:rowOff>847723</xdr:rowOff>
    </xdr:from>
    <xdr:to>
      <xdr:col>3</xdr:col>
      <xdr:colOff>4843457</xdr:colOff>
      <xdr:row>5</xdr:row>
      <xdr:rowOff>2487133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B3DE338-BA9A-CF6E-3740-972146C21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02436" y="3528330"/>
          <a:ext cx="4701200" cy="1639410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0B537-142C-4256-9234-CE27C21F9048}">
  <sheetPr codeName="Sheet1"/>
  <dimension ref="A1:F16"/>
  <sheetViews>
    <sheetView zoomScale="55" zoomScaleNormal="55" workbookViewId="0">
      <selection activeCell="C10" sqref="C10"/>
    </sheetView>
  </sheetViews>
  <sheetFormatPr defaultColWidth="8.8125" defaultRowHeight="16.899999999999999"/>
  <cols>
    <col min="1" max="1" width="15.5" style="8" customWidth="1"/>
    <col min="2" max="2" width="26.5" style="8" bestFit="1" customWidth="1"/>
    <col min="3" max="3" width="62.5" style="8" customWidth="1"/>
    <col min="4" max="4" width="65" style="8" customWidth="1"/>
    <col min="5" max="5" width="8.8125" customWidth="1"/>
    <col min="6" max="6" width="8.8125" style="20" customWidth="1"/>
  </cols>
  <sheetData>
    <row r="1" spans="1:6" ht="20.65">
      <c r="A1" s="54" t="s">
        <v>39</v>
      </c>
      <c r="B1" s="55"/>
      <c r="C1" s="55"/>
      <c r="D1" s="56"/>
    </row>
    <row r="2" spans="1:6">
      <c r="A2" s="1" t="s">
        <v>3</v>
      </c>
      <c r="B2" s="1" t="s">
        <v>27</v>
      </c>
      <c r="C2" s="2" t="s">
        <v>1</v>
      </c>
      <c r="D2" s="1" t="s">
        <v>2</v>
      </c>
    </row>
    <row r="3" spans="1:6" ht="44.25" customHeight="1">
      <c r="A3" s="57" t="s">
        <v>0</v>
      </c>
      <c r="B3" s="67" t="s">
        <v>84</v>
      </c>
      <c r="C3" s="68"/>
      <c r="D3" s="46" t="e" vm="1">
        <v>#VALUE!</v>
      </c>
    </row>
    <row r="4" spans="1:6" ht="51" customHeight="1">
      <c r="A4" s="58"/>
      <c r="B4" s="4" t="s">
        <v>14</v>
      </c>
      <c r="C4" s="6" t="s">
        <v>40</v>
      </c>
      <c r="D4" s="9"/>
    </row>
    <row r="5" spans="1:6" ht="78" customHeight="1">
      <c r="A5" s="58"/>
      <c r="B5" s="10" t="s">
        <v>28</v>
      </c>
      <c r="C5" s="6" t="s">
        <v>75</v>
      </c>
      <c r="D5" s="9"/>
    </row>
    <row r="6" spans="1:6" ht="330.75">
      <c r="A6" s="58"/>
      <c r="B6" s="4" t="s">
        <v>29</v>
      </c>
      <c r="C6" s="6" t="s">
        <v>101</v>
      </c>
      <c r="D6" s="4"/>
      <c r="F6" s="21"/>
    </row>
    <row r="7" spans="1:6" ht="182.55" customHeight="1">
      <c r="A7" s="59"/>
      <c r="B7" s="9" t="s">
        <v>88</v>
      </c>
      <c r="C7" s="45" t="s">
        <v>102</v>
      </c>
      <c r="D7" s="11" t="e" vm="2">
        <v>#VALUE!</v>
      </c>
      <c r="F7" s="21"/>
    </row>
    <row r="8" spans="1:6" ht="110.25">
      <c r="A8" s="65" t="s">
        <v>59</v>
      </c>
      <c r="B8" s="4" t="s">
        <v>11</v>
      </c>
      <c r="C8" s="7" t="s">
        <v>103</v>
      </c>
      <c r="D8" s="4"/>
    </row>
    <row r="9" spans="1:6" ht="61.5" customHeight="1">
      <c r="A9" s="66"/>
      <c r="B9" s="4" t="s">
        <v>13</v>
      </c>
      <c r="C9" s="6" t="s">
        <v>74</v>
      </c>
      <c r="D9" s="4"/>
    </row>
    <row r="10" spans="1:6" ht="110.25">
      <c r="A10" s="66"/>
      <c r="B10" s="4" t="s">
        <v>16</v>
      </c>
      <c r="C10" s="47" t="s">
        <v>89</v>
      </c>
      <c r="D10" s="4"/>
    </row>
    <row r="11" spans="1:6" ht="283.5">
      <c r="A11" s="66"/>
      <c r="B11" s="4" t="s">
        <v>69</v>
      </c>
      <c r="C11" s="41" t="s">
        <v>90</v>
      </c>
      <c r="D11" s="4"/>
    </row>
    <row r="16" spans="1:6">
      <c r="B16"/>
    </row>
  </sheetData>
  <mergeCells count="4">
    <mergeCell ref="A1:D1"/>
    <mergeCell ref="A8:A11"/>
    <mergeCell ref="B3:C3"/>
    <mergeCell ref="A3:A7"/>
  </mergeCells>
  <phoneticPr fontId="2" type="noConversion"/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B1D97-18C1-4F89-9679-A4237428C2F2}">
  <sheetPr codeName="Sheet2"/>
  <dimension ref="A1:K29"/>
  <sheetViews>
    <sheetView showGridLines="0" tabSelected="1" zoomScale="115" zoomScaleNormal="115" workbookViewId="0">
      <selection activeCell="F5" sqref="F5"/>
    </sheetView>
  </sheetViews>
  <sheetFormatPr defaultColWidth="8.8125" defaultRowHeight="16.899999999999999"/>
  <cols>
    <col min="1" max="1" width="17.5" style="13" bestFit="1" customWidth="1"/>
    <col min="2" max="2" width="4.5" style="13" bestFit="1" customWidth="1"/>
    <col min="3" max="3" width="6.3125" style="13" bestFit="1" customWidth="1"/>
    <col min="4" max="4" width="26.5" style="13" bestFit="1" customWidth="1"/>
    <col min="5" max="5" width="71.3125" style="13" customWidth="1"/>
    <col min="6" max="6" width="10" style="13" customWidth="1"/>
    <col min="7" max="7" width="75.5" style="32" customWidth="1"/>
    <col min="8" max="8" width="24" customWidth="1"/>
    <col min="9" max="9" width="107.3125" style="22" customWidth="1"/>
    <col min="10" max="10" width="13" style="24" customWidth="1"/>
    <col min="11" max="11" width="39.5" customWidth="1"/>
  </cols>
  <sheetData>
    <row r="1" spans="1:11" ht="20.65">
      <c r="A1" s="54" t="s">
        <v>83</v>
      </c>
      <c r="B1" s="55"/>
      <c r="C1" s="55"/>
      <c r="D1" s="55"/>
      <c r="E1" s="55"/>
      <c r="F1" s="55"/>
      <c r="G1" s="56"/>
      <c r="I1" s="29"/>
      <c r="K1" s="24"/>
    </row>
    <row r="2" spans="1:11">
      <c r="A2" s="1" t="s">
        <v>3</v>
      </c>
      <c r="B2" s="1" t="s">
        <v>4</v>
      </c>
      <c r="C2" s="1" t="s">
        <v>5</v>
      </c>
      <c r="D2" s="1" t="s">
        <v>6</v>
      </c>
      <c r="E2" s="2" t="s">
        <v>1</v>
      </c>
      <c r="F2" s="2" t="s">
        <v>7</v>
      </c>
      <c r="G2" s="2" t="s">
        <v>58</v>
      </c>
      <c r="K2" s="25"/>
    </row>
    <row r="3" spans="1:11" ht="31.5">
      <c r="A3" s="3" t="s">
        <v>8</v>
      </c>
      <c r="B3" s="4">
        <v>1</v>
      </c>
      <c r="C3" s="4" t="s">
        <v>9</v>
      </c>
      <c r="D3" s="4" t="s">
        <v>10</v>
      </c>
      <c r="E3" s="50" t="s">
        <v>91</v>
      </c>
      <c r="F3" s="17" t="b">
        <v>1</v>
      </c>
      <c r="G3" s="36"/>
      <c r="K3" s="25"/>
    </row>
    <row r="4" spans="1:11" ht="24" customHeight="1">
      <c r="A4" s="57" t="s">
        <v>76</v>
      </c>
      <c r="B4" s="9">
        <v>2</v>
      </c>
      <c r="C4" s="9" t="s">
        <v>9</v>
      </c>
      <c r="D4" s="9" t="s">
        <v>11</v>
      </c>
      <c r="E4" s="48" t="s">
        <v>12</v>
      </c>
      <c r="F4" s="17" t="b">
        <v>1</v>
      </c>
      <c r="G4" s="36"/>
      <c r="K4" s="25"/>
    </row>
    <row r="5" spans="1:11" ht="78.75">
      <c r="A5" s="59"/>
      <c r="B5" s="9">
        <v>3</v>
      </c>
      <c r="C5" s="9" t="s">
        <v>9</v>
      </c>
      <c r="D5" s="9" t="s">
        <v>55</v>
      </c>
      <c r="E5" s="48" t="s">
        <v>95</v>
      </c>
      <c r="F5" s="17" t="b">
        <v>1</v>
      </c>
      <c r="G5" s="36"/>
      <c r="K5" s="25"/>
    </row>
    <row r="6" spans="1:11" ht="63">
      <c r="A6" s="57" t="s">
        <v>60</v>
      </c>
      <c r="B6" s="4">
        <v>4</v>
      </c>
      <c r="C6" s="4" t="s">
        <v>9</v>
      </c>
      <c r="D6" s="4" t="s">
        <v>13</v>
      </c>
      <c r="E6" s="6" t="s">
        <v>96</v>
      </c>
      <c r="F6" s="17" t="b">
        <v>1</v>
      </c>
      <c r="G6" s="31"/>
      <c r="K6" s="25"/>
    </row>
    <row r="7" spans="1:11" ht="63">
      <c r="A7" s="58"/>
      <c r="B7" s="5">
        <v>5</v>
      </c>
      <c r="C7" s="4" t="s">
        <v>9</v>
      </c>
      <c r="D7" s="4" t="s">
        <v>17</v>
      </c>
      <c r="E7" s="6" t="s">
        <v>92</v>
      </c>
      <c r="F7" s="17" t="b">
        <v>1</v>
      </c>
      <c r="G7" s="37"/>
      <c r="K7" s="25"/>
    </row>
    <row r="8" spans="1:11" ht="25.05" customHeight="1">
      <c r="A8" s="58"/>
      <c r="B8" s="4">
        <v>6</v>
      </c>
      <c r="C8" s="4" t="s">
        <v>15</v>
      </c>
      <c r="D8" s="4" t="s">
        <v>18</v>
      </c>
      <c r="E8" s="6" t="s">
        <v>19</v>
      </c>
      <c r="F8" s="17" t="b">
        <v>1</v>
      </c>
      <c r="G8" s="37"/>
      <c r="K8" s="25"/>
    </row>
    <row r="9" spans="1:11" ht="25.05" customHeight="1">
      <c r="A9" s="59"/>
      <c r="B9" s="4">
        <v>7</v>
      </c>
      <c r="C9" s="4" t="s">
        <v>9</v>
      </c>
      <c r="D9" s="4" t="s">
        <v>20</v>
      </c>
      <c r="E9" s="31" t="s">
        <v>56</v>
      </c>
      <c r="F9" s="18" t="b">
        <v>1</v>
      </c>
      <c r="G9" s="37"/>
      <c r="K9" s="25"/>
    </row>
    <row r="10" spans="1:11" ht="34.049999999999997" customHeight="1">
      <c r="A10" s="57" t="s">
        <v>21</v>
      </c>
      <c r="B10" s="9">
        <v>8</v>
      </c>
      <c r="C10" s="9" t="s">
        <v>9</v>
      </c>
      <c r="D10" s="9" t="s">
        <v>77</v>
      </c>
      <c r="E10" s="49" t="s">
        <v>78</v>
      </c>
      <c r="F10" s="18" t="b">
        <v>1</v>
      </c>
      <c r="G10" s="37"/>
      <c r="K10" s="25"/>
    </row>
    <row r="11" spans="1:11" ht="63">
      <c r="A11" s="58"/>
      <c r="B11" s="4">
        <v>9</v>
      </c>
      <c r="C11" s="4" t="s">
        <v>9</v>
      </c>
      <c r="D11" s="4" t="s">
        <v>13</v>
      </c>
      <c r="E11" s="6" t="s">
        <v>96</v>
      </c>
      <c r="F11" s="17" t="b">
        <v>1</v>
      </c>
      <c r="G11" s="37"/>
      <c r="K11" s="27"/>
    </row>
    <row r="12" spans="1:11" ht="31.5">
      <c r="A12" s="58"/>
      <c r="B12" s="5">
        <v>10</v>
      </c>
      <c r="C12" s="4" t="s">
        <v>9</v>
      </c>
      <c r="D12" s="4" t="s">
        <v>22</v>
      </c>
      <c r="E12" s="6" t="s">
        <v>54</v>
      </c>
      <c r="F12" s="17" t="b">
        <v>1</v>
      </c>
      <c r="G12" s="37"/>
      <c r="I12" s="23"/>
      <c r="J12" s="28"/>
      <c r="K12" s="25"/>
    </row>
    <row r="13" spans="1:11" ht="25.05" customHeight="1">
      <c r="A13" s="58"/>
      <c r="B13" s="4">
        <v>11</v>
      </c>
      <c r="C13" s="4" t="s">
        <v>9</v>
      </c>
      <c r="D13" s="4" t="s">
        <v>23</v>
      </c>
      <c r="E13" s="31" t="s">
        <v>57</v>
      </c>
      <c r="F13" s="18" t="b">
        <v>1</v>
      </c>
      <c r="G13" s="38"/>
      <c r="K13" s="25"/>
    </row>
    <row r="14" spans="1:11" ht="130.05000000000001" customHeight="1">
      <c r="A14" s="59"/>
      <c r="B14" s="9">
        <v>12</v>
      </c>
      <c r="C14" s="9" t="s">
        <v>15</v>
      </c>
      <c r="D14" s="9" t="s">
        <v>79</v>
      </c>
      <c r="E14" s="49" t="s">
        <v>97</v>
      </c>
      <c r="F14" s="18" t="b">
        <v>1</v>
      </c>
      <c r="G14" s="38"/>
      <c r="K14" s="25"/>
    </row>
    <row r="15" spans="1:11" ht="31.5">
      <c r="A15" s="63" t="s">
        <v>85</v>
      </c>
      <c r="B15" s="9">
        <v>13</v>
      </c>
      <c r="C15" s="9" t="s">
        <v>15</v>
      </c>
      <c r="D15" s="46" t="s">
        <v>82</v>
      </c>
      <c r="E15" s="48" t="s">
        <v>98</v>
      </c>
      <c r="F15" s="18" t="b">
        <v>1</v>
      </c>
      <c r="G15" s="38"/>
      <c r="K15" s="25"/>
    </row>
    <row r="16" spans="1:11" ht="26" customHeight="1">
      <c r="A16" s="64"/>
      <c r="B16" s="4">
        <v>14</v>
      </c>
      <c r="C16" s="4" t="s">
        <v>9</v>
      </c>
      <c r="D16" s="4" t="s">
        <v>80</v>
      </c>
      <c r="E16" s="6" t="s">
        <v>87</v>
      </c>
      <c r="F16" s="18" t="b">
        <v>1</v>
      </c>
      <c r="G16" s="38"/>
      <c r="K16" s="25"/>
    </row>
    <row r="17" spans="1:11" ht="53" customHeight="1">
      <c r="A17" s="63" t="s">
        <v>86</v>
      </c>
      <c r="B17" s="9">
        <v>15</v>
      </c>
      <c r="C17" s="9" t="s">
        <v>9</v>
      </c>
      <c r="D17" s="9" t="s">
        <v>24</v>
      </c>
      <c r="E17" s="48" t="s">
        <v>99</v>
      </c>
      <c r="F17" s="17" t="b">
        <v>1</v>
      </c>
      <c r="G17" s="39"/>
      <c r="K17" s="25"/>
    </row>
    <row r="18" spans="1:11" ht="37.049999999999997" customHeight="1">
      <c r="A18" s="64"/>
      <c r="B18" s="5">
        <v>16</v>
      </c>
      <c r="C18" s="4" t="s">
        <v>9</v>
      </c>
      <c r="D18" s="10" t="s">
        <v>81</v>
      </c>
      <c r="E18" s="6" t="s">
        <v>72</v>
      </c>
      <c r="F18" s="42" t="b">
        <v>1</v>
      </c>
      <c r="G18" s="44"/>
      <c r="K18" s="25"/>
    </row>
    <row r="19" spans="1:11" ht="69" customHeight="1">
      <c r="A19" s="57" t="s">
        <v>25</v>
      </c>
      <c r="B19" s="5">
        <v>17</v>
      </c>
      <c r="C19" s="4" t="s">
        <v>9</v>
      </c>
      <c r="D19" s="4" t="s">
        <v>13</v>
      </c>
      <c r="E19" s="6" t="s">
        <v>94</v>
      </c>
      <c r="F19" s="17" t="b">
        <v>1</v>
      </c>
      <c r="G19" s="31"/>
      <c r="K19" s="25"/>
    </row>
    <row r="20" spans="1:11" ht="53" customHeight="1">
      <c r="A20" s="58"/>
      <c r="B20" s="4">
        <v>18</v>
      </c>
      <c r="C20" s="10" t="s">
        <v>9</v>
      </c>
      <c r="D20" s="4" t="s">
        <v>47</v>
      </c>
      <c r="E20" s="6" t="s">
        <v>93</v>
      </c>
      <c r="F20" s="17" t="b">
        <v>1</v>
      </c>
      <c r="G20" s="38"/>
      <c r="I20" s="23"/>
      <c r="K20" s="25"/>
    </row>
    <row r="21" spans="1:11" ht="53" customHeight="1">
      <c r="A21" s="59"/>
      <c r="B21" s="5">
        <v>19</v>
      </c>
      <c r="C21" s="10" t="s">
        <v>9</v>
      </c>
      <c r="D21" s="4" t="s">
        <v>73</v>
      </c>
      <c r="E21" s="6" t="s">
        <v>100</v>
      </c>
      <c r="F21" s="17" t="b">
        <v>1</v>
      </c>
      <c r="G21" s="38"/>
      <c r="I21" s="23"/>
      <c r="K21" s="25"/>
    </row>
    <row r="22" spans="1:11" ht="52.05" customHeight="1">
      <c r="A22" s="3" t="s">
        <v>2</v>
      </c>
      <c r="B22" s="60" t="s">
        <v>71</v>
      </c>
      <c r="C22" s="61"/>
      <c r="D22" s="61"/>
      <c r="E22" s="61"/>
      <c r="F22" s="61"/>
      <c r="G22" s="62"/>
      <c r="I22" s="23"/>
      <c r="K22" s="25"/>
    </row>
    <row r="23" spans="1:11">
      <c r="A23" s="3" t="s">
        <v>36</v>
      </c>
      <c r="B23" s="40">
        <v>19</v>
      </c>
      <c r="C23" s="51"/>
      <c r="D23" s="52"/>
      <c r="E23" s="52"/>
      <c r="F23" s="52"/>
      <c r="G23" s="53"/>
      <c r="K23" s="25"/>
    </row>
    <row r="24" spans="1:11">
      <c r="B24" s="13" t="s">
        <v>70</v>
      </c>
      <c r="K24" s="25"/>
    </row>
    <row r="25" spans="1:11">
      <c r="K25" s="25"/>
    </row>
    <row r="26" spans="1:11">
      <c r="K26" s="26"/>
    </row>
    <row r="29" spans="1:11">
      <c r="H29" s="13"/>
    </row>
  </sheetData>
  <mergeCells count="9">
    <mergeCell ref="C23:G23"/>
    <mergeCell ref="A1:G1"/>
    <mergeCell ref="A10:A14"/>
    <mergeCell ref="B22:G22"/>
    <mergeCell ref="A4:A5"/>
    <mergeCell ref="A6:A9"/>
    <mergeCell ref="A19:A21"/>
    <mergeCell ref="A15:A16"/>
    <mergeCell ref="A17:A18"/>
  </mergeCells>
  <phoneticPr fontId="2" type="noConversion"/>
  <printOptions headings="1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ECFA8-2B62-4A0D-A4D5-EAC8DD1FB7DB}">
  <sheetPr codeName="Sheet3"/>
  <dimension ref="A1:J13"/>
  <sheetViews>
    <sheetView zoomScale="130" zoomScaleNormal="130" workbookViewId="0">
      <selection activeCell="G28" sqref="G28"/>
    </sheetView>
  </sheetViews>
  <sheetFormatPr defaultColWidth="8.8125" defaultRowHeight="16.899999999999999"/>
  <cols>
    <col min="1" max="4" width="9" style="12"/>
    <col min="5" max="6" width="15" style="12" customWidth="1"/>
    <col min="7" max="7" width="17" style="12" customWidth="1"/>
    <col min="8" max="8" width="21.3125" style="12" customWidth="1"/>
    <col min="9" max="9" width="28.5" bestFit="1" customWidth="1"/>
  </cols>
  <sheetData>
    <row r="1" spans="1:10" ht="20.65">
      <c r="A1" s="70" t="s">
        <v>38</v>
      </c>
      <c r="B1" s="71"/>
      <c r="C1" s="71"/>
      <c r="D1" s="71"/>
      <c r="E1" s="71"/>
      <c r="F1" s="71"/>
      <c r="G1" s="71"/>
      <c r="H1" s="71"/>
      <c r="I1" s="71"/>
      <c r="J1" s="19"/>
    </row>
    <row r="2" spans="1:10">
      <c r="A2" s="72" t="s">
        <v>30</v>
      </c>
      <c r="B2" s="72"/>
      <c r="C2" s="72"/>
      <c r="D2" s="72"/>
      <c r="E2" s="1" t="s">
        <v>31</v>
      </c>
      <c r="F2" s="2" t="s">
        <v>32</v>
      </c>
      <c r="G2" s="1" t="s">
        <v>33</v>
      </c>
      <c r="H2" s="1" t="s">
        <v>34</v>
      </c>
      <c r="I2" s="1" t="s">
        <v>2</v>
      </c>
    </row>
    <row r="3" spans="1:10">
      <c r="A3" s="66" t="s">
        <v>35</v>
      </c>
      <c r="B3" s="66"/>
      <c r="C3" s="66"/>
      <c r="D3" s="66"/>
      <c r="E3" s="75" t="s">
        <v>42</v>
      </c>
      <c r="F3" s="76"/>
      <c r="G3" s="11">
        <f>COUNTIF('AAS Model Checklist'!F3:F21, TRUE)</f>
        <v>19</v>
      </c>
      <c r="H3" s="11">
        <f>ROUND(G3/G5, 3) * 100</f>
        <v>100</v>
      </c>
      <c r="I3" s="34" t="s">
        <v>63</v>
      </c>
    </row>
    <row r="4" spans="1:10">
      <c r="A4" s="66"/>
      <c r="B4" s="66"/>
      <c r="C4" s="66"/>
      <c r="D4" s="66"/>
      <c r="E4" s="75" t="s">
        <v>41</v>
      </c>
      <c r="F4" s="76"/>
      <c r="G4" s="43">
        <f>'AAS Model Checklist'!B23 - G3</f>
        <v>0</v>
      </c>
      <c r="H4" s="11">
        <f>ROUND(G4/G5, 3) * 100</f>
        <v>0</v>
      </c>
      <c r="I4" s="34" t="s">
        <v>62</v>
      </c>
    </row>
    <row r="5" spans="1:10">
      <c r="A5" s="66"/>
      <c r="B5" s="66"/>
      <c r="C5" s="66"/>
      <c r="D5" s="66"/>
      <c r="E5" s="14" t="s">
        <v>36</v>
      </c>
      <c r="F5" s="15" t="s">
        <v>26</v>
      </c>
      <c r="G5" s="14">
        <f>SUM(G3:G4)</f>
        <v>19</v>
      </c>
      <c r="H5" s="14">
        <f>SUM(H3:H4)</f>
        <v>100</v>
      </c>
      <c r="I5" s="35" t="s">
        <v>68</v>
      </c>
    </row>
    <row r="6" spans="1:10">
      <c r="A6" s="74" t="s">
        <v>37</v>
      </c>
      <c r="B6" s="74"/>
      <c r="C6" s="74"/>
      <c r="D6" s="74"/>
      <c r="E6" s="73" t="s">
        <v>9</v>
      </c>
      <c r="F6" s="11" t="s">
        <v>43</v>
      </c>
      <c r="G6" s="11">
        <f>COUNTIFS('AAS Model Checklist'!C3:C21, "필수", 'AAS Model Checklist'!F3:F21, TRUE)</f>
        <v>16</v>
      </c>
      <c r="H6" s="11">
        <f>ROUND(G6/G10, 3) * 100</f>
        <v>84.2</v>
      </c>
      <c r="I6" s="34" t="s">
        <v>64</v>
      </c>
    </row>
    <row r="7" spans="1:10">
      <c r="A7" s="74"/>
      <c r="B7" s="74"/>
      <c r="C7" s="74"/>
      <c r="D7" s="74"/>
      <c r="E7" s="73"/>
      <c r="F7" s="11" t="s">
        <v>44</v>
      </c>
      <c r="G7" s="11">
        <f>COUNTIFS('AAS Model Checklist'!C3:C21, "필수", 'AAS Model Checklist'!F3:F21, FALSE)</f>
        <v>0</v>
      </c>
      <c r="H7" s="11">
        <f>ROUND(G7/G10, 3) * 100</f>
        <v>0</v>
      </c>
      <c r="I7" s="34" t="s">
        <v>65</v>
      </c>
    </row>
    <row r="8" spans="1:10">
      <c r="A8" s="74"/>
      <c r="B8" s="74"/>
      <c r="C8" s="74"/>
      <c r="D8" s="74"/>
      <c r="E8" s="73" t="s">
        <v>15</v>
      </c>
      <c r="F8" s="11" t="s">
        <v>45</v>
      </c>
      <c r="G8" s="11">
        <f>COUNTIFS('AAS Model Checklist'!C3:C21, "옵션", 'AAS Model Checklist'!F3:F21, TRUE)</f>
        <v>3</v>
      </c>
      <c r="H8" s="11">
        <f>ROUND(G8/G10, 3) * 100</f>
        <v>15.8</v>
      </c>
      <c r="I8" s="34" t="s">
        <v>66</v>
      </c>
    </row>
    <row r="9" spans="1:10">
      <c r="A9" s="74"/>
      <c r="B9" s="74"/>
      <c r="C9" s="74"/>
      <c r="D9" s="74"/>
      <c r="E9" s="73"/>
      <c r="F9" s="11" t="s">
        <v>46</v>
      </c>
      <c r="G9" s="11">
        <f>COUNTIFS('AAS Model Checklist'!C3:C21, "옵션", 'AAS Model Checklist'!F3:F21, FALSE)</f>
        <v>0</v>
      </c>
      <c r="H9" s="11">
        <f>ROUND(G9/G10, 3) * 100</f>
        <v>0</v>
      </c>
      <c r="I9" s="34" t="s">
        <v>67</v>
      </c>
    </row>
    <row r="10" spans="1:10">
      <c r="A10" s="74"/>
      <c r="B10" s="74"/>
      <c r="C10" s="74"/>
      <c r="D10" s="74"/>
      <c r="E10" s="14" t="s">
        <v>36</v>
      </c>
      <c r="F10" s="16" t="s">
        <v>26</v>
      </c>
      <c r="G10" s="14">
        <f>SUM(G6:G9)</f>
        <v>19</v>
      </c>
      <c r="H10" s="14">
        <f>SUM(H6:H9)</f>
        <v>100</v>
      </c>
      <c r="I10" s="35" t="s">
        <v>68</v>
      </c>
    </row>
    <row r="12" spans="1:10">
      <c r="A12" s="69" t="s">
        <v>61</v>
      </c>
      <c r="B12" s="69"/>
      <c r="C12" s="69"/>
      <c r="D12" s="69"/>
      <c r="E12" s="69"/>
      <c r="F12" s="69"/>
      <c r="G12" s="69"/>
      <c r="H12" s="69"/>
      <c r="I12" s="69"/>
    </row>
    <row r="13" spans="1:10">
      <c r="B13" s="33"/>
    </row>
  </sheetData>
  <mergeCells count="9">
    <mergeCell ref="A12:I12"/>
    <mergeCell ref="A1:I1"/>
    <mergeCell ref="A2:D2"/>
    <mergeCell ref="E6:E7"/>
    <mergeCell ref="E8:E9"/>
    <mergeCell ref="A3:D5"/>
    <mergeCell ref="A6:D10"/>
    <mergeCell ref="E3:F3"/>
    <mergeCell ref="E4:F4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FD889-563E-433D-90DF-A5D07DA03AD6}">
  <sheetPr codeName="Sheet4"/>
  <dimension ref="A1:F16"/>
  <sheetViews>
    <sheetView zoomScale="85" zoomScaleNormal="85" workbookViewId="0">
      <selection activeCell="B4" sqref="B4:F4"/>
    </sheetView>
  </sheetViews>
  <sheetFormatPr defaultColWidth="8.8125" defaultRowHeight="16.899999999999999"/>
  <cols>
    <col min="1" max="1" width="17.5" customWidth="1"/>
    <col min="2" max="2" width="14.3125" customWidth="1"/>
    <col min="3" max="3" width="13" customWidth="1"/>
    <col min="4" max="4" width="25.5" customWidth="1"/>
    <col min="5" max="5" width="11.5" customWidth="1"/>
    <col min="6" max="6" width="24.3125" customWidth="1"/>
  </cols>
  <sheetData>
    <row r="1" spans="1:6" ht="32.25" customHeight="1">
      <c r="A1" s="82" t="s">
        <v>48</v>
      </c>
      <c r="B1" s="83"/>
      <c r="C1" s="83"/>
      <c r="D1" s="83"/>
      <c r="E1" s="83"/>
      <c r="F1" s="83"/>
    </row>
    <row r="2" spans="1:6">
      <c r="A2" s="84" t="s">
        <v>50</v>
      </c>
      <c r="B2" s="78"/>
      <c r="C2" s="84" t="s">
        <v>49</v>
      </c>
      <c r="D2" s="85"/>
      <c r="E2" s="87" t="s">
        <v>51</v>
      </c>
      <c r="F2" s="85"/>
    </row>
    <row r="3" spans="1:6">
      <c r="A3" s="84"/>
      <c r="B3" s="78"/>
      <c r="C3" s="84"/>
      <c r="D3" s="86"/>
      <c r="E3" s="88"/>
      <c r="F3" s="86"/>
    </row>
    <row r="4" spans="1:6" ht="232.5" customHeight="1">
      <c r="A4" s="30" t="s">
        <v>52</v>
      </c>
      <c r="B4" s="79"/>
      <c r="C4" s="78"/>
      <c r="D4" s="78"/>
      <c r="E4" s="78"/>
      <c r="F4" s="78"/>
    </row>
    <row r="5" spans="1:6" ht="31.5" customHeight="1">
      <c r="A5" s="30" t="s">
        <v>53</v>
      </c>
      <c r="B5" s="78"/>
      <c r="C5" s="78"/>
      <c r="D5" s="78"/>
      <c r="E5" s="78"/>
      <c r="F5" s="78"/>
    </row>
    <row r="6" spans="1:6" ht="108" customHeight="1">
      <c r="A6" s="30" t="s">
        <v>2</v>
      </c>
      <c r="B6" s="80"/>
      <c r="C6" s="81"/>
      <c r="D6" s="81"/>
      <c r="E6" s="81"/>
      <c r="F6" s="81"/>
    </row>
    <row r="16" spans="1:6">
      <c r="A16" s="77"/>
      <c r="B16" s="77"/>
      <c r="C16" s="77"/>
      <c r="D16" s="77"/>
      <c r="E16" s="77"/>
      <c r="F16" s="77"/>
    </row>
  </sheetData>
  <mergeCells count="11">
    <mergeCell ref="A16:F16"/>
    <mergeCell ref="B5:F5"/>
    <mergeCell ref="B4:F4"/>
    <mergeCell ref="B6:F6"/>
    <mergeCell ref="A1:F1"/>
    <mergeCell ref="A2:A3"/>
    <mergeCell ref="B2:B3"/>
    <mergeCell ref="C2:C3"/>
    <mergeCell ref="D2:D3"/>
    <mergeCell ref="E2:E3"/>
    <mergeCell ref="F2:F3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AAS Model Checklist Information</vt:lpstr>
      <vt:lpstr>AAS Model Checklist</vt:lpstr>
      <vt:lpstr>AAS Model Checklist Result</vt:lpstr>
      <vt:lpstr>Additional Considerations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배태겸</dc:creator>
  <cp:lastModifiedBy>지형 김</cp:lastModifiedBy>
  <cp:lastPrinted>2025-02-14T07:07:43Z</cp:lastPrinted>
  <dcterms:created xsi:type="dcterms:W3CDTF">2025-02-14T06:46:23Z</dcterms:created>
  <dcterms:modified xsi:type="dcterms:W3CDTF">2026-10-26T12:36:51Z</dcterms:modified>
</cp:coreProperties>
</file>