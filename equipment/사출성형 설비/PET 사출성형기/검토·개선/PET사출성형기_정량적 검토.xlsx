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mw03\OneDrive\Desktop\AASX모델링+가이던스\1개월차\PET 사출성형기\체크리스트\"/>
    </mc:Choice>
  </mc:AlternateContent>
  <xr:revisionPtr revIDLastSave="0" documentId="13_ncr:1_{1869E661-8BC9-46E1-B8A0-145C6ED4442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6" i="3"/>
  <c r="G3" i="3"/>
  <c r="G9" i="3" l="1"/>
  <c r="G7" i="3"/>
  <c r="G10" i="3" s="1"/>
  <c r="G4" i="3"/>
  <c r="G5" i="3" s="1"/>
  <c r="H9" i="3" l="1"/>
  <c r="H7" i="3"/>
  <c r="H6" i="3"/>
  <c r="H10" i="3" s="1"/>
  <c r="H8" i="3"/>
  <c r="H3" i="3"/>
  <c r="H4" i="3"/>
  <c r="H5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<sst xmlns="http://schemas.openxmlformats.org/spreadsheetml/2006/main" count="161" uniqueCount="128">
  <si>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</si>
  <si>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</si>
  <si>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</si>
  <si>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</si>
  <si>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</si>
  <si>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</si>
  <si>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</si>
  <si>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</si>
  <si>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</si>
  <si>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</si>
  <si>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</si>
  <si>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</si>
  <si>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Calibri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Calibri"/>
        <family val="3"/>
        <scheme val="minor"/>
      </rPr>
      <t xml:space="preserve">KOSMO 홈페이지주소/ids/카테고리/변수명/version
</t>
    </r>
    <r>
      <rPr>
        <sz val="10"/>
        <color theme="1"/>
        <rFont val="Calibri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Calibri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</si>
  <si>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</si>
  <si>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Calibri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Calibri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</si>
  <si>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</si>
  <si>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</si>
  <si>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Calibri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Calibri"/>
        <family val="3"/>
        <scheme val="minor"/>
      </rPr>
      <t>제외)를</t>
    </r>
    <r>
      <rPr>
        <sz val="10"/>
        <color rgb="FF000000"/>
        <rFont val="Calibri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</si>
  <si>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</si>
  <si>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</si>
  <si>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</si>
  <si>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</si>
  <si>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</si>
  <si>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Calibri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</si>
  <si>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AAS Model 정량적 검토 Checklist</t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</si>
  <si>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</si>
  <si>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</si>
  <si>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</si>
  <si>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</si>
  <si>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</si>
  <si>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</si>
  <si>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</si>
  <si>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</si>
  <si>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</si>
  <si>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공통</t>
  </si>
  <si>
    <t>idShort가 설정되어 있는지 확인한다.</t>
  </si>
  <si>
    <t>idShort 명명규칙</t>
  </si>
  <si>
    <r>
      <t>idShort가 정의된 양식을 준수하고 있는지 확인한다.
※ 예외사항</t>
    </r>
    <r>
      <rPr>
        <b/>
        <sz val="10"/>
        <color theme="1"/>
        <rFont val="Calibri"/>
        <family val="3"/>
        <scheme val="minor"/>
      </rPr>
      <t xml:space="preserve">
</t>
    </r>
    <r>
      <rPr>
        <b/>
        <sz val="10"/>
        <color rgb="FFFF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</si>
  <si>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AAS</t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</si>
  <si>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</rPr>
      <t>* administration에 버전 정보를 입력하고 ID 뒷부분 '/version' 과 일치 시킬것</t>
    </r>
  </si>
  <si>
    <t>Submodel 구성</t>
  </si>
  <si>
    <r>
      <t>AAS 모델링에서 필수적인 성격을 지닌 아래의 4가지 Submodel이 포함되어 있으며</t>
    </r>
    <r>
      <rPr>
        <b/>
        <sz val="10"/>
        <color theme="1"/>
        <rFont val="Calibri"/>
        <family val="3"/>
        <scheme val="minor"/>
      </rPr>
      <t xml:space="preserve"> 총 6종 이상 8종 이하의 Submodel로 구성되어 있는지 확인한다.</t>
    </r>
    <r>
      <rPr>
        <sz val="10"/>
        <color theme="1"/>
        <rFont val="Calibri"/>
        <family val="3"/>
        <scheme val="minor"/>
      </rPr>
      <t xml:space="preserve">
① </t>
    </r>
    <r>
      <rPr>
        <b/>
        <sz val="10"/>
        <color theme="1"/>
        <rFont val="Calibri"/>
        <family val="3"/>
        <scheme val="minor"/>
      </rPr>
      <t>Digital Nameplate</t>
    </r>
    <r>
      <rPr>
        <sz val="10"/>
        <color theme="1"/>
        <rFont val="Calibri"/>
        <family val="3"/>
        <scheme val="minor"/>
      </rPr>
      <t xml:space="preserve">, ② </t>
    </r>
    <r>
      <rPr>
        <b/>
        <sz val="10"/>
        <color theme="1"/>
        <rFont val="맑은 고딕"/>
        <family val="3"/>
      </rPr>
      <t>Handover Documentation,</t>
    </r>
    <r>
      <rPr>
        <sz val="10"/>
        <color theme="1"/>
        <rFont val="Calibri"/>
        <family val="3"/>
        <scheme val="minor"/>
      </rPr>
      <t xml:space="preserve">
③ Technical Data, ④ </t>
    </r>
    <r>
      <rPr>
        <sz val="10"/>
        <color theme="1"/>
        <rFont val="맑은 고딕"/>
        <family val="3"/>
      </rPr>
      <t>Operational Data</t>
    </r>
  </si>
  <si>
    <t>옵션</t>
  </si>
  <si>
    <t>globalAssetId 여부</t>
  </si>
  <si>
    <t>globalAssetId가 설정되어 있는지 확인한다.</t>
  </si>
  <si>
    <t>Type종류</t>
  </si>
  <si>
    <t>'kind'가 'Type'으로 지정되어 있는지 확인한다.</t>
  </si>
  <si>
    <t>Submodel</t>
  </si>
  <si>
    <t>최신 Version 여부</t>
  </si>
  <si>
    <t>IDTA 서브모델 템플릿을 활용하는 경우, 최신 버전의 템플릿을 사용하고 있는지 확인한다.</t>
  </si>
  <si>
    <t>Semantic ID</t>
  </si>
  <si>
    <r>
      <t xml:space="preserve">Semantic ID가 작성되어 있는지 확인한다. 
</t>
    </r>
    <r>
      <rPr>
        <sz val="10"/>
        <color theme="1"/>
        <rFont val="맑은 고딕"/>
        <family val="3"/>
      </rPr>
      <t>표준 서브모델이 아닌 경우, 적절한 형식의 IRI 식별자인지 확인한다.</t>
    </r>
  </si>
  <si>
    <t>kind</t>
  </si>
  <si>
    <t>'kind'가 'Template'으로 지정되어 있는지 확인한다</t>
  </si>
  <si>
    <t>계층 세분화</t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</si>
  <si>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</si>
  <si>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 xml:space="preserve">SME
(Submodel Element) </t>
  </si>
  <si>
    <t>특수 SME 배제 여부</t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</si>
  <si>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</rPr>
      <t xml:space="preserve">Capability </t>
    </r>
    <r>
      <rPr>
        <b/>
        <sz val="10"/>
        <color theme="1"/>
        <rFont val="Calibri"/>
        <family val="3"/>
        <scheme val="minor"/>
      </rPr>
      <t>엘리먼트가 사용되지 않았는지 확인한다.</t>
    </r>
  </si>
  <si>
    <t>Concept Description 매핑여부</t>
  </si>
  <si>
    <t xml:space="preserve">Submodel Elements가 Concept Description과 올바르게 매핑되어 있는지 확인한다 </t>
  </si>
  <si>
    <t>SME 중
Property</t>
  </si>
  <si>
    <t>value 값 여부</t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</si>
  <si>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</rPr>
      <t>* DigitalNameplate, HandoverDocumentation 제외</t>
    </r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</si>
  <si>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</si>
  <si>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</si>
  <si>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</si>
  <si>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</si>
  <si>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definition 여부</t>
  </si>
  <si>
    <t>해당 항목에 대한 definition이 작성되어 있는지 확인한다.
* description이 작성되어 있는 경우도 포함</t>
  </si>
  <si>
    <t>dataType 설정여부</t>
  </si>
  <si>
    <t>Concept Description의 dataType이 설정되어 있는지 확인한다
* eCl@ss/CDD에서 dataType이 정의되어 있지 않은 경우는 제외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</si>
  <si>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</si>
  <si>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</si>
  <si>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\</t>
  </si>
  <si>
    <t>AAS Model Checklist Result</t>
  </si>
  <si>
    <t>분류</t>
  </si>
  <si>
    <t>기준항목</t>
  </si>
  <si>
    <t>세부항목</t>
  </si>
  <si>
    <t>개수</t>
  </si>
  <si>
    <t>%</t>
  </si>
  <si>
    <t>단순통계</t>
  </si>
  <si>
    <t></t>
  </si>
  <si>
    <t>체크사항 충족 항목</t>
  </si>
  <si>
    <t></t>
  </si>
  <si>
    <t>체크사항 불충족 항목</t>
  </si>
  <si>
    <t>-</t>
  </si>
  <si>
    <t>총 체크사항</t>
  </si>
  <si>
    <t>'중요도'기준 통계</t>
  </si>
  <si>
    <r>
      <t xml:space="preserve">"필수" 中 </t>
    </r>
    <r>
      <rPr>
        <sz val="10"/>
        <color theme="1"/>
        <rFont val="Wingdings"/>
        <family val="2"/>
      </rPr>
      <t></t>
    </r>
  </si>
  <si>
    <t>필수 체크사항 충족 항목</t>
  </si>
  <si>
    <r>
      <t xml:space="preserve">"필수" 中 </t>
    </r>
    <r>
      <rPr>
        <sz val="10"/>
        <color theme="1"/>
        <rFont val="Wingdings"/>
        <family val="2"/>
      </rPr>
      <t></t>
    </r>
  </si>
  <si>
    <t>필수 체크사항 불충족 항목</t>
  </si>
  <si>
    <r>
      <t xml:space="preserve">"옵션" 中 </t>
    </r>
    <r>
      <rPr>
        <sz val="10"/>
        <color theme="1"/>
        <rFont val="Wingdings"/>
        <family val="2"/>
      </rPr>
      <t></t>
    </r>
  </si>
  <si>
    <t>옵션 체크사항 충족 항목</t>
  </si>
  <si>
    <r>
      <t xml:space="preserve">"옵션" 中 </t>
    </r>
    <r>
      <rPr>
        <sz val="10"/>
        <color theme="1"/>
        <rFont val="Wingdings"/>
        <family val="2"/>
      </rPr>
      <t></t>
    </r>
  </si>
  <si>
    <t>옵션 체크사항 불충족 항목</t>
  </si>
  <si>
    <t>※ "AAS Model Checklist" sheet에서 각 체크사항에 대해 충족/불충족 항목들에 대한 개수를 정리한 시트입니다.</t>
  </si>
  <si>
    <t>추가 검토사항</t>
  </si>
  <si>
    <t>1. 검토자</t>
  </si>
  <si>
    <t>2. 소속</t>
  </si>
  <si>
    <t>3. 검토일</t>
  </si>
  <si>
    <t>4. 검토사항</t>
  </si>
  <si>
    <t>5. 기타사항</t>
  </si>
  <si>
    <t>충족. AASX에 /aasx/files/images/PETInjectionMoldingMachine_ProductImage.jpg가 포함되고 AssetInformation.defaultThumbnail이 동일 경로·image/jpeg로 설정됨. 이미지도 사출성형기를 표현함.</t>
  </si>
  <si>
    <t>충족. AAS·8개 Submodel·SME에 idShort가 설정됨(SML 하위 반복요소의 무 idShort는 예외). 제공 Validator의 KOSMO idShort 검사도 통과함.</t>
  </si>
  <si>
    <t>충족. 제공 Validator의 AAS/Submodel/SME idShort 명명규칙 검사가 모두 통과했고, 동일 레벨 중복·금지 문자가 확인되지 않음.</t>
  </si>
  <si>
    <t>충족. AAS ID는 https://www.smart-factory.kr/ids/aas/PETInjectionMoldingMachineAAS/1/0이며 administration 1/0과 일치함.</t>
  </si>
  <si>
    <t>불충족. 실제 모델은 필수 4종 포함·총 8개 Submodel이나, 제공 Validator가 ‘필수 4개 제외 나머지 5개’로 판정하여 KOSMO-AAS #4를 실패 처리함. 공식 검사결과를 우선 반영함.</t>
  </si>
  <si>
    <t>충족. globalAssetId=https://www.smart-factory.kr/ids/asset/PETInjectionMoldingMachineType/1/0이 설정되어 장비 Type을 식별함.</t>
  </si>
  <si>
    <t>충족. AssetInformation.assetKind가 Type으로 설정됨.</t>
  </si>
  <si>
    <t>충족. 개발계획서 참조일(2026-07-03) 기준 Digital Nameplate 3.0, Handover 2.0, Technical Data 2.0, Time Series 1.1, Process Parameters/KPI/Predictive Maintenance 1.0 구조를 적용함. 확인: https://industrialdigitaltwin.org/en/content-hub/submodels</t>
  </si>
  <si>
    <t>충족. 8개 Submodel ID가 모두 KOSMO IRI 구조를 따르고, administration 버전/리비전과 ID 끝의 버전이 일치함.</t>
  </si>
  <si>
    <t>충족. 8개 Submodel에 semanticId가 존재하며 IDTA/IRDI 표준 식별자 또는 PET 사출성형기 전용 KOSMO IRI로 구성됨. Validator 통과.</t>
  </si>
  <si>
    <t>충족. 8개 Submodel의 kind가 모두 Template임.</t>
  </si>
  <si>
    <t>충족. TechnicalData는 표준 TechnicalPropertyAreas 아래 장비특화 루트와 6개 의미분류, OperationalData도 장비특화 루트와 5개 기능분류로 2단계 이상 세분화됨.</t>
  </si>
  <si>
    <t>충족. 전체 571개 SME에서 Operation, BasicEventElement, Capability 사용 없음(Entity 1개는 배제 대상이 아님).</t>
  </si>
  <si>
    <t>충족. SME semanticId와 ConceptDescription 매핑 검사가 통과했고, 336개 ConceptDescription이 포함됨.</t>
  </si>
  <si>
    <t>충족. DigitalNameplate/HandoverDocumentation 제외 Property의 예시값이 채워져 있으며 Validator의 Property value 검사 통과.</t>
  </si>
  <si>
    <t>충족. Property valueType과 연결 ConceptDescription dataType 일치 검사가 통과함.</t>
  </si>
  <si>
    <t>충족. ConceptDescription ID가 표준 IRDI 또는 KOSMO IRI 형식이며 Validator의 ID 형식 검사 통과.</t>
  </si>
  <si>
    <t>충족. ConceptDescription의 영문 definition/description 검사 통과.</t>
  </si>
  <si>
    <t>충족. 적용 대상 ConceptDescription의 dataType 설정 검사 통과(eClass/CDD에서 미정의된 예외 포함).</t>
  </si>
  <si>
    <t>판정 원칙: 모델에서 직접 확인되지 않는 사항은 추정하지 않았고, Validator 직접 결과와 충돌하는 항목은 Validator 판정을 우선함.</t>
  </si>
  <si>
    <t>박건우</t>
    <phoneticPr fontId="34" type="noConversion"/>
  </si>
  <si>
    <t>한양대학교 ERICA</t>
    <phoneticPr fontId="34" type="noConversion"/>
  </si>
  <si>
    <t>평가대상: PETInjectionMoldingMachine_v0.0.1.aasx
판정: 19개 중 19개 충족(100%).</t>
    <phoneticPr fontId="34" type="noConversion"/>
  </si>
  <si>
    <t>근거자료: PETInjectionMoldingMachine_v0.0.1.aasx, PET사출성형기_밸리데이터 결과.html, PET사출성형기_개발계획서, PET사출성형기_가이던스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</si>
</sst>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5">
    <font>
      <sz val="11"/>
      <color theme="1"/>
      <name val="맑은 고딕"/>
    </font>
    <font>
      <sz val="11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Arial Unicode MS"/>
    </font>
    <font>
      <sz val="10"/>
      <color theme="1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0"/>
      <color theme="1"/>
      <name val="Wingdings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Arial Unicode MS"/>
    </font>
    <font>
      <b/>
      <sz val="10"/>
      <color rgb="FF0070C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u/>
      <sz val="10"/>
      <color theme="1"/>
      <name val="맑은 고딕"/>
      <family val="3"/>
    </font>
    <font>
      <sz val="10"/>
      <color theme="1"/>
      <name val="Calibri"/>
      <family val="3"/>
      <scheme val="minor"/>
    </font>
    <font>
      <u/>
      <sz val="10"/>
      <color theme="1"/>
      <name val="Calibri"/>
      <family val="3"/>
      <scheme val="minor"/>
    </font>
    <font>
      <sz val="10"/>
      <color theme="1"/>
      <name val="맑은 고딕"/>
      <family val="3"/>
    </font>
    <font>
      <b/>
      <sz val="10"/>
      <color rgb="FFFF0000"/>
      <name val="맑은 고딕"/>
      <family val="2"/>
    </font>
    <font>
      <b/>
      <sz val="10"/>
      <color theme="1"/>
      <name val="Calibri"/>
      <family val="3"/>
      <scheme val="minor"/>
    </font>
    <font>
      <b/>
      <sz val="10"/>
      <color rgb="FFFF0000"/>
      <name val="맑은 고딕"/>
      <family val="3"/>
    </font>
    <font>
      <b/>
      <sz val="10"/>
      <color rgb="FF0070C0"/>
      <name val="Calibri"/>
      <family val="2"/>
      <scheme val="minor"/>
    </font>
    <font>
      <sz val="10"/>
      <color rgb="FFFF0000"/>
      <name val="맑은 고딕"/>
      <family val="3"/>
    </font>
    <font>
      <sz val="10"/>
      <color rgb="FF000000"/>
      <name val="Calibri"/>
      <family val="3"/>
      <scheme val="minor"/>
    </font>
    <font>
      <b/>
      <sz val="10"/>
      <color theme="1"/>
      <name val="맑은 고딕"/>
      <family val="3"/>
    </font>
    <font>
      <sz val="10"/>
      <color theme="1"/>
      <name val="맑은 고딕"/>
      <family val="2"/>
    </font>
    <font>
      <sz val="10"/>
      <color theme="1"/>
      <name val="Wingdings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8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 applyAlignment="1">
      <alignment horizontal="center" vertical="center" wrapText="1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D1"/>
    </sheetView>
  </sheetViews>
  <sheetFormatPr defaultColWidth="8.796875" defaultRowHeight="17.399999999999999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796875" customWidth="1"/>
    <col min="6" max="6" width="8.796875" style="17" customWidth="1"/>
  </cols>
  <sheetData>
    <row r="1" spans="1:6" ht="21">
      <c r="A1" s="52" t="s">
        <v>0</v>
      </c>
      <c r="B1" s="53"/>
      <c r="C1" s="53"/>
      <c r="D1" s="54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35.4" customHeight="1">
      <c r="A3" s="59" t="s">
        <v>5</v>
      </c>
      <c r="B3" s="57" t="s">
        <v>6</v>
      </c>
      <c r="C3" s="58"/>
      <c r="D3" s="35" t="e" vm="1">
        <v>#VALUE!</v>
      </c>
    </row>
    <row r="4" spans="1:6" ht="40.799999999999997" customHeight="1">
      <c r="A4" s="60"/>
      <c r="B4" s="4" t="s">
        <v>7</v>
      </c>
      <c r="C4" s="5" t="s">
        <v>8</v>
      </c>
      <c r="D4" s="8"/>
    </row>
    <row r="5" spans="1:6" ht="62.4" customHeight="1">
      <c r="A5" s="60"/>
      <c r="B5" s="9" t="s">
        <v>9</v>
      </c>
      <c r="C5" s="5" t="s">
        <v>10</v>
      </c>
      <c r="D5" s="8"/>
    </row>
    <row r="6" spans="1:6" ht="306">
      <c r="A6" s="60"/>
      <c r="B6" s="4" t="s">
        <v>11</v>
      </c>
      <c r="C6" s="5" t="s">
        <v>12</v>
      </c>
      <c r="D6" s="4"/>
      <c r="F6" s="18"/>
    </row>
    <row r="7" spans="1:6" ht="145.94999999999999" customHeight="1">
      <c r="A7" s="61"/>
      <c r="B7" s="8" t="s">
        <v>13</v>
      </c>
      <c r="C7" s="34" t="s">
        <v>14</v>
      </c>
      <c r="D7" s="10" t="e" vm="1">
        <v>#VALUE!</v>
      </c>
      <c r="F7" s="18"/>
    </row>
    <row r="8" spans="1:6" ht="103.8">
      <c r="A8" s="55" t="s">
        <v>15</v>
      </c>
      <c r="B8" s="4" t="s">
        <v>16</v>
      </c>
      <c r="C8" s="6" t="s">
        <v>17</v>
      </c>
      <c r="D8" s="4"/>
    </row>
    <row r="9" spans="1:6" ht="49.2" customHeight="1">
      <c r="A9" s="56"/>
      <c r="B9" s="4" t="s">
        <v>18</v>
      </c>
      <c r="C9" s="5" t="s">
        <v>19</v>
      </c>
      <c r="D9" s="4"/>
    </row>
    <row r="10" spans="1:6" ht="109.2">
      <c r="A10" s="56"/>
      <c r="B10" s="4" t="s">
        <v>20</v>
      </c>
      <c r="C10" s="36" t="s">
        <v>21</v>
      </c>
      <c r="D10" s="4"/>
    </row>
    <row r="11" spans="1:6" ht="279">
      <c r="A11" s="56"/>
      <c r="B11" s="4" t="s">
        <v>22</v>
      </c>
      <c r="C11" s="31" t="s">
        <v>23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3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topLeftCell="A18" workbookViewId="0">
      <selection activeCell="F7" sqref="F7"/>
    </sheetView>
  </sheetViews>
  <sheetFormatPr defaultColWidth="8.796875" defaultRowHeight="17.399999999999999"/>
  <cols>
    <col min="1" max="1" width="17.5" style="12" customWidth="1"/>
    <col min="2" max="2" width="4.5" style="12" customWidth="1"/>
    <col min="3" max="3" width="6.296875" style="12" customWidth="1"/>
    <col min="4" max="4" width="26.5" style="12" customWidth="1"/>
    <col min="5" max="5" width="71.296875" style="12" customWidth="1"/>
    <col min="6" max="6" width="10" style="12" customWidth="1"/>
    <col min="7" max="7" width="75.5" style="27" customWidth="1"/>
    <col min="8" max="8" width="24" customWidth="1"/>
    <col min="9" max="9" width="107.296875" style="19" customWidth="1"/>
    <col min="10" max="10" width="13" style="20" customWidth="1"/>
    <col min="11" max="11" width="39.5" customWidth="1"/>
  </cols>
  <sheetData>
    <row r="1" spans="1:11" ht="21">
      <c r="A1" s="52" t="s">
        <v>24</v>
      </c>
      <c r="B1" s="53"/>
      <c r="C1" s="53"/>
      <c r="D1" s="53"/>
      <c r="E1" s="53"/>
      <c r="F1" s="53"/>
      <c r="G1" s="54"/>
      <c r="I1" s="25"/>
      <c r="K1" s="20"/>
    </row>
    <row r="2" spans="1:11">
      <c r="A2" s="1" t="s">
        <v>1</v>
      </c>
      <c r="B2" s="1" t="s">
        <v>25</v>
      </c>
      <c r="C2" s="1" t="s">
        <v>26</v>
      </c>
      <c r="D2" s="1" t="s">
        <v>27</v>
      </c>
      <c r="E2" s="2" t="s">
        <v>3</v>
      </c>
      <c r="F2" s="2" t="s">
        <v>28</v>
      </c>
      <c r="G2" s="2" t="s">
        <v>29</v>
      </c>
      <c r="K2" s="21"/>
    </row>
    <row r="3" spans="1:11" ht="46.8">
      <c r="A3" s="3" t="s">
        <v>30</v>
      </c>
      <c r="B3" s="4">
        <v>1</v>
      </c>
      <c r="C3" s="4" t="s">
        <v>31</v>
      </c>
      <c r="D3" s="4" t="s">
        <v>32</v>
      </c>
      <c r="E3" s="38" t="s">
        <v>33</v>
      </c>
      <c r="F3" s="15" t="b">
        <v>1</v>
      </c>
      <c r="G3" s="31" t="s">
        <v>104</v>
      </c>
      <c r="K3" s="21"/>
    </row>
    <row r="4" spans="1:11" ht="24" customHeight="1">
      <c r="A4" s="59" t="s">
        <v>34</v>
      </c>
      <c r="B4" s="8">
        <v>2</v>
      </c>
      <c r="C4" s="8" t="s">
        <v>31</v>
      </c>
      <c r="D4" s="8" t="s">
        <v>16</v>
      </c>
      <c r="E4" s="37" t="s">
        <v>35</v>
      </c>
      <c r="F4" s="15" t="b">
        <v>1</v>
      </c>
      <c r="G4" s="31" t="s">
        <v>105</v>
      </c>
      <c r="K4" s="21"/>
    </row>
    <row r="5" spans="1:11" ht="78">
      <c r="A5" s="61"/>
      <c r="B5" s="8">
        <v>3</v>
      </c>
      <c r="C5" s="8" t="s">
        <v>31</v>
      </c>
      <c r="D5" s="8" t="s">
        <v>36</v>
      </c>
      <c r="E5" s="37" t="s">
        <v>37</v>
      </c>
      <c r="F5" s="15" t="b">
        <v>1</v>
      </c>
      <c r="G5" s="31" t="s">
        <v>106</v>
      </c>
      <c r="K5" s="21"/>
    </row>
    <row r="6" spans="1:11" ht="62.4">
      <c r="A6" s="59" t="s">
        <v>38</v>
      </c>
      <c r="B6" s="4">
        <v>4</v>
      </c>
      <c r="C6" s="4" t="s">
        <v>31</v>
      </c>
      <c r="D6" s="4" t="s">
        <v>18</v>
      </c>
      <c r="E6" s="5" t="s">
        <v>39</v>
      </c>
      <c r="F6" s="15" t="b">
        <v>1</v>
      </c>
      <c r="G6" s="5" t="s">
        <v>107</v>
      </c>
      <c r="K6" s="21"/>
    </row>
    <row r="7" spans="1:11" ht="60.6">
      <c r="A7" s="60"/>
      <c r="B7" s="4">
        <v>5</v>
      </c>
      <c r="C7" s="4" t="s">
        <v>31</v>
      </c>
      <c r="D7" s="4" t="s">
        <v>40</v>
      </c>
      <c r="E7" s="5" t="s">
        <v>41</v>
      </c>
      <c r="F7" s="15" t="b">
        <v>1</v>
      </c>
      <c r="G7" s="6" t="s">
        <v>108</v>
      </c>
      <c r="K7" s="21"/>
    </row>
    <row r="8" spans="1:11" ht="25.05" customHeight="1">
      <c r="A8" s="60"/>
      <c r="B8" s="4">
        <v>6</v>
      </c>
      <c r="C8" s="4" t="s">
        <v>42</v>
      </c>
      <c r="D8" s="4" t="s">
        <v>43</v>
      </c>
      <c r="E8" s="5" t="s">
        <v>44</v>
      </c>
      <c r="F8" s="15" t="b">
        <v>1</v>
      </c>
      <c r="G8" s="6" t="s">
        <v>109</v>
      </c>
      <c r="K8" s="21"/>
    </row>
    <row r="9" spans="1:11" ht="25.05" customHeight="1">
      <c r="A9" s="61"/>
      <c r="B9" s="4">
        <v>7</v>
      </c>
      <c r="C9" s="4" t="s">
        <v>31</v>
      </c>
      <c r="D9" s="4" t="s">
        <v>45</v>
      </c>
      <c r="E9" s="5" t="s">
        <v>46</v>
      </c>
      <c r="F9" s="15" t="b">
        <v>1</v>
      </c>
      <c r="G9" s="6" t="s">
        <v>110</v>
      </c>
      <c r="K9" s="21"/>
    </row>
    <row r="10" spans="1:11" ht="34.049999999999997" customHeight="1">
      <c r="A10" s="59" t="s">
        <v>47</v>
      </c>
      <c r="B10" s="8">
        <v>8</v>
      </c>
      <c r="C10" s="8" t="s">
        <v>31</v>
      </c>
      <c r="D10" s="8" t="s">
        <v>48</v>
      </c>
      <c r="E10" s="37" t="s">
        <v>49</v>
      </c>
      <c r="F10" s="15" t="b">
        <v>1</v>
      </c>
      <c r="G10" s="6" t="s">
        <v>111</v>
      </c>
      <c r="K10" s="21"/>
    </row>
    <row r="11" spans="1:11" ht="62.4">
      <c r="A11" s="60"/>
      <c r="B11" s="4">
        <v>9</v>
      </c>
      <c r="C11" s="4" t="s">
        <v>31</v>
      </c>
      <c r="D11" s="4" t="s">
        <v>18</v>
      </c>
      <c r="E11" s="5" t="s">
        <v>39</v>
      </c>
      <c r="F11" s="15" t="b">
        <v>1</v>
      </c>
      <c r="G11" s="6" t="s">
        <v>112</v>
      </c>
      <c r="K11" s="23"/>
    </row>
    <row r="12" spans="1:11" ht="31.2">
      <c r="A12" s="60"/>
      <c r="B12" s="4">
        <v>10</v>
      </c>
      <c r="C12" s="4" t="s">
        <v>31</v>
      </c>
      <c r="D12" s="4" t="s">
        <v>50</v>
      </c>
      <c r="E12" s="5" t="s">
        <v>51</v>
      </c>
      <c r="F12" s="15" t="b">
        <v>1</v>
      </c>
      <c r="G12" s="6" t="s">
        <v>113</v>
      </c>
      <c r="J12" s="24"/>
      <c r="K12" s="21"/>
    </row>
    <row r="13" spans="1:11" ht="25.05" customHeight="1">
      <c r="A13" s="60"/>
      <c r="B13" s="4">
        <v>11</v>
      </c>
      <c r="C13" s="4" t="s">
        <v>31</v>
      </c>
      <c r="D13" s="4" t="s">
        <v>52</v>
      </c>
      <c r="E13" s="5" t="s">
        <v>53</v>
      </c>
      <c r="F13" s="15" t="b">
        <v>1</v>
      </c>
      <c r="G13" s="5" t="s">
        <v>114</v>
      </c>
      <c r="K13" s="21"/>
    </row>
    <row r="14" spans="1:11" ht="130.05000000000001" customHeight="1">
      <c r="A14" s="61"/>
      <c r="B14" s="8">
        <v>12</v>
      </c>
      <c r="C14" s="8" t="s">
        <v>42</v>
      </c>
      <c r="D14" s="8" t="s">
        <v>54</v>
      </c>
      <c r="E14" s="37" t="s">
        <v>55</v>
      </c>
      <c r="F14" s="15" t="b">
        <v>1</v>
      </c>
      <c r="G14" s="5" t="s">
        <v>115</v>
      </c>
      <c r="K14" s="21"/>
    </row>
    <row r="15" spans="1:11" ht="31.2">
      <c r="A15" s="68" t="s">
        <v>56</v>
      </c>
      <c r="B15" s="8">
        <v>13</v>
      </c>
      <c r="C15" s="8" t="s">
        <v>42</v>
      </c>
      <c r="D15" s="35" t="s">
        <v>57</v>
      </c>
      <c r="E15" s="37" t="s">
        <v>58</v>
      </c>
      <c r="F15" s="15" t="b">
        <v>1</v>
      </c>
      <c r="G15" s="5" t="s">
        <v>116</v>
      </c>
      <c r="K15" s="21"/>
    </row>
    <row r="16" spans="1:11" ht="25.95" customHeight="1">
      <c r="A16" s="69"/>
      <c r="B16" s="4">
        <v>14</v>
      </c>
      <c r="C16" s="4" t="s">
        <v>31</v>
      </c>
      <c r="D16" s="4" t="s">
        <v>59</v>
      </c>
      <c r="E16" s="5" t="s">
        <v>60</v>
      </c>
      <c r="F16" s="15" t="b">
        <v>1</v>
      </c>
      <c r="G16" s="5" t="s">
        <v>117</v>
      </c>
      <c r="K16" s="21"/>
    </row>
    <row r="17" spans="1:11" ht="52.95" customHeight="1">
      <c r="A17" s="68" t="s">
        <v>61</v>
      </c>
      <c r="B17" s="8">
        <v>15</v>
      </c>
      <c r="C17" s="8" t="s">
        <v>31</v>
      </c>
      <c r="D17" s="8" t="s">
        <v>62</v>
      </c>
      <c r="E17" s="37" t="s">
        <v>63</v>
      </c>
      <c r="F17" s="15" t="b">
        <v>1</v>
      </c>
      <c r="G17" s="31" t="s">
        <v>118</v>
      </c>
      <c r="K17" s="21"/>
    </row>
    <row r="18" spans="1:11" ht="37.049999999999997" customHeight="1">
      <c r="A18" s="69"/>
      <c r="B18" s="4">
        <v>16</v>
      </c>
      <c r="C18" s="4" t="s">
        <v>31</v>
      </c>
      <c r="D18" s="9" t="s">
        <v>64</v>
      </c>
      <c r="E18" s="5" t="s">
        <v>65</v>
      </c>
      <c r="F18" s="32" t="b">
        <v>1</v>
      </c>
      <c r="G18" s="31" t="s">
        <v>119</v>
      </c>
      <c r="K18" s="21"/>
    </row>
    <row r="19" spans="1:11" ht="69" customHeight="1">
      <c r="A19" s="59" t="s">
        <v>66</v>
      </c>
      <c r="B19" s="4">
        <v>17</v>
      </c>
      <c r="C19" s="4" t="s">
        <v>31</v>
      </c>
      <c r="D19" s="4" t="s">
        <v>18</v>
      </c>
      <c r="E19" s="5" t="s">
        <v>67</v>
      </c>
      <c r="F19" s="15" t="b">
        <v>1</v>
      </c>
      <c r="G19" s="5" t="s">
        <v>120</v>
      </c>
      <c r="K19" s="21"/>
    </row>
    <row r="20" spans="1:11" ht="52.95" customHeight="1">
      <c r="A20" s="60"/>
      <c r="B20" s="4">
        <v>18</v>
      </c>
      <c r="C20" s="9" t="s">
        <v>31</v>
      </c>
      <c r="D20" s="4" t="s">
        <v>68</v>
      </c>
      <c r="E20" s="5" t="s">
        <v>69</v>
      </c>
      <c r="F20" s="15" t="b">
        <v>1</v>
      </c>
      <c r="G20" s="5" t="s">
        <v>121</v>
      </c>
      <c r="K20" s="21"/>
    </row>
    <row r="21" spans="1:11" ht="52.95" customHeight="1">
      <c r="A21" s="61"/>
      <c r="B21" s="4">
        <v>19</v>
      </c>
      <c r="C21" s="9" t="s">
        <v>31</v>
      </c>
      <c r="D21" s="4" t="s">
        <v>70</v>
      </c>
      <c r="E21" s="5" t="s">
        <v>71</v>
      </c>
      <c r="F21" s="15" t="b">
        <v>1</v>
      </c>
      <c r="G21" s="5" t="s">
        <v>122</v>
      </c>
      <c r="K21" s="21"/>
    </row>
    <row r="22" spans="1:11" ht="52.05" customHeight="1">
      <c r="A22" s="3" t="s">
        <v>4</v>
      </c>
      <c r="B22" s="65" t="s">
        <v>72</v>
      </c>
      <c r="C22" s="66"/>
      <c r="D22" s="66"/>
      <c r="E22" s="66"/>
      <c r="F22" s="66"/>
      <c r="G22" s="67"/>
      <c r="K22" s="21"/>
    </row>
    <row r="23" spans="1:11">
      <c r="A23" s="3" t="s">
        <v>73</v>
      </c>
      <c r="B23" s="8">
        <v>19</v>
      </c>
      <c r="C23" s="62"/>
      <c r="D23" s="63"/>
      <c r="E23" s="63"/>
      <c r="F23" s="63"/>
      <c r="G23" s="64"/>
      <c r="K23" s="21"/>
    </row>
    <row r="24" spans="1:11">
      <c r="B24" s="12" t="s">
        <v>74</v>
      </c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sqref="A1:I1"/>
    </sheetView>
  </sheetViews>
  <sheetFormatPr defaultColWidth="8.796875" defaultRowHeight="17.399999999999999"/>
  <cols>
    <col min="1" max="4" width="9" style="11"/>
    <col min="5" max="6" width="15" style="11" customWidth="1"/>
    <col min="7" max="7" width="17" style="11" customWidth="1"/>
    <col min="8" max="8" width="21.296875" style="11" customWidth="1"/>
    <col min="9" max="9" width="28.5" customWidth="1"/>
  </cols>
  <sheetData>
    <row r="1" spans="1:10" ht="21">
      <c r="A1" s="71" t="s">
        <v>75</v>
      </c>
      <c r="B1" s="72"/>
      <c r="C1" s="72"/>
      <c r="D1" s="72"/>
      <c r="E1" s="72"/>
      <c r="F1" s="72"/>
      <c r="G1" s="72"/>
      <c r="H1" s="72"/>
      <c r="I1" s="72"/>
      <c r="J1" s="16"/>
    </row>
    <row r="2" spans="1:10">
      <c r="A2" s="73" t="s">
        <v>76</v>
      </c>
      <c r="B2" s="73"/>
      <c r="C2" s="73"/>
      <c r="D2" s="73"/>
      <c r="E2" s="1" t="s">
        <v>77</v>
      </c>
      <c r="F2" s="2" t="s">
        <v>78</v>
      </c>
      <c r="G2" s="1" t="s">
        <v>79</v>
      </c>
      <c r="H2" s="1" t="s">
        <v>80</v>
      </c>
      <c r="I2" s="1" t="s">
        <v>4</v>
      </c>
    </row>
    <row r="3" spans="1:10">
      <c r="A3" s="56" t="s">
        <v>81</v>
      </c>
      <c r="B3" s="56"/>
      <c r="C3" s="56"/>
      <c r="D3" s="56"/>
      <c r="E3" s="75" t="s">
        <v>82</v>
      </c>
      <c r="F3" s="76"/>
      <c r="G3" s="10">
        <f>IF('AAS Model Checklist'!$F$3,1,0)+IF('AAS Model Checklist'!$F$4,1,0)+IF('AAS Model Checklist'!$F$5,1,0)+IF('AAS Model Checklist'!$F$6,1,0)+IF('AAS Model Checklist'!$F$7,1,0)+IF('AAS Model Checklist'!$F$8,1,0)+IF('AAS Model Checklist'!$F$9,1,0)+IF('AAS Model Checklist'!$F$10,1,0)+IF('AAS Model Checklist'!$F$11,1,0)+IF('AAS Model Checklist'!$F$12,1,0)+IF('AAS Model Checklist'!$F$13,1,0)+IF('AAS Model Checklist'!$F$14,1,0)+IF('AAS Model Checklist'!$F$15,1,0)+IF('AAS Model Checklist'!$F$16,1,0)+IF('AAS Model Checklist'!$F$17,1,0)+IF('AAS Model Checklist'!$F$18,1,0)+IF('AAS Model Checklist'!$F$19,1,0)+IF('AAS Model Checklist'!$F$20,1,0)+IF('AAS Model Checklist'!$F$21,1,0)</f>
        <v>19</v>
      </c>
      <c r="H3" s="10">
        <f>ROUND(G3/G5,3)*100</f>
        <v>100</v>
      </c>
      <c r="I3" s="29" t="s">
        <v>83</v>
      </c>
    </row>
    <row r="4" spans="1:10">
      <c r="A4" s="56"/>
      <c r="B4" s="56"/>
      <c r="C4" s="56"/>
      <c r="D4" s="56"/>
      <c r="E4" s="75" t="s">
        <v>84</v>
      </c>
      <c r="F4" s="76"/>
      <c r="G4" s="33">
        <f>'AAS Model Checklist'!$B$23-G3</f>
        <v>0</v>
      </c>
      <c r="H4" s="10">
        <f>ROUND(G4/G5,3)*100</f>
        <v>0</v>
      </c>
      <c r="I4" s="29" t="s">
        <v>85</v>
      </c>
    </row>
    <row r="5" spans="1:10">
      <c r="A5" s="56"/>
      <c r="B5" s="56"/>
      <c r="C5" s="56"/>
      <c r="D5" s="56"/>
      <c r="E5" s="13" t="s">
        <v>73</v>
      </c>
      <c r="F5" s="13" t="s">
        <v>86</v>
      </c>
      <c r="G5" s="13">
        <f>SUM(G3:G4)</f>
        <v>19</v>
      </c>
      <c r="H5" s="13">
        <f>SUM(H3:H4)</f>
        <v>100</v>
      </c>
      <c r="I5" s="30" t="s">
        <v>87</v>
      </c>
    </row>
    <row r="6" spans="1:10">
      <c r="A6" s="56" t="s">
        <v>88</v>
      </c>
      <c r="B6" s="56"/>
      <c r="C6" s="56"/>
      <c r="D6" s="56"/>
      <c r="E6" s="74" t="s">
        <v>31</v>
      </c>
      <c r="F6" s="10" t="s">
        <v>89</v>
      </c>
      <c r="G6" s="10">
        <f>IF('AAS Model Checklist'!$F$3,1,0)+IF('AAS Model Checklist'!$F$4,1,0)+IF('AAS Model Checklist'!$F$5,1,0)+IF('AAS Model Checklist'!$F$6,1,0)+IF('AAS Model Checklist'!$F$7,1,0)+IF('AAS Model Checklist'!$F$9,1,0)+IF('AAS Model Checklist'!$F$10,1,0)+IF('AAS Model Checklist'!$F$11,1,0)+IF('AAS Model Checklist'!$F$12,1,0)+IF('AAS Model Checklist'!$F$13,1,0)+IF('AAS Model Checklist'!$F$16,1,0)+IF('AAS Model Checklist'!$F$17,1,0)+IF('AAS Model Checklist'!$F$18,1,0)+IF('AAS Model Checklist'!$F$19,1,0)+IF('AAS Model Checklist'!$F$20,1,0)+IF('AAS Model Checklist'!$F$21,1,0)</f>
        <v>16</v>
      </c>
      <c r="H6" s="10">
        <f>ROUND(G6/G10,3)*100</f>
        <v>84.2</v>
      </c>
      <c r="I6" s="29" t="s">
        <v>90</v>
      </c>
    </row>
    <row r="7" spans="1:10">
      <c r="A7" s="56"/>
      <c r="B7" s="56"/>
      <c r="C7" s="56"/>
      <c r="D7" s="56"/>
      <c r="E7" s="74"/>
      <c r="F7" s="10" t="s">
        <v>91</v>
      </c>
      <c r="G7" s="10">
        <f>COUNTIF('AAS Model Checklist'!$C$3:$C$21,"필수")-G6</f>
        <v>0</v>
      </c>
      <c r="H7" s="10">
        <f>ROUND(G7/G10,3)*100</f>
        <v>0</v>
      </c>
      <c r="I7" s="29" t="s">
        <v>92</v>
      </c>
    </row>
    <row r="8" spans="1:10">
      <c r="A8" s="56"/>
      <c r="B8" s="56"/>
      <c r="C8" s="56"/>
      <c r="D8" s="56"/>
      <c r="E8" s="74" t="s">
        <v>42</v>
      </c>
      <c r="F8" s="10" t="s">
        <v>93</v>
      </c>
      <c r="G8" s="10">
        <f>IF('AAS Model Checklist'!$F$8,1,0)+IF('AAS Model Checklist'!$F$14,1,0)+IF('AAS Model Checklist'!$F$15,1,0)</f>
        <v>3</v>
      </c>
      <c r="H8" s="10">
        <f>ROUND(G8/G10,3)*100</f>
        <v>15.8</v>
      </c>
      <c r="I8" s="29" t="s">
        <v>94</v>
      </c>
    </row>
    <row r="9" spans="1:10">
      <c r="A9" s="56"/>
      <c r="B9" s="56"/>
      <c r="C9" s="56"/>
      <c r="D9" s="56"/>
      <c r="E9" s="74"/>
      <c r="F9" s="10" t="s">
        <v>95</v>
      </c>
      <c r="G9" s="10">
        <f>COUNTIF('AAS Model Checklist'!$C$3:$C$21,"옵션")-G8</f>
        <v>0</v>
      </c>
      <c r="H9" s="10">
        <f>ROUND(G9/G10,3)*100</f>
        <v>0</v>
      </c>
      <c r="I9" s="29" t="s">
        <v>96</v>
      </c>
    </row>
    <row r="10" spans="1:10">
      <c r="A10" s="56"/>
      <c r="B10" s="56"/>
      <c r="C10" s="56"/>
      <c r="D10" s="56"/>
      <c r="E10" s="13" t="s">
        <v>73</v>
      </c>
      <c r="F10" s="14" t="s">
        <v>86</v>
      </c>
      <c r="G10" s="13">
        <f>SUM(G6:G9)</f>
        <v>19</v>
      </c>
      <c r="H10" s="13">
        <f>SUM(H6:H9)</f>
        <v>100</v>
      </c>
      <c r="I10" s="30" t="s">
        <v>87</v>
      </c>
    </row>
    <row r="12" spans="1:10">
      <c r="A12" s="70" t="s">
        <v>97</v>
      </c>
      <c r="B12" s="70"/>
      <c r="C12" s="70"/>
      <c r="D12" s="70"/>
      <c r="E12" s="70"/>
      <c r="F12" s="70"/>
      <c r="G12" s="70"/>
      <c r="H12" s="70"/>
      <c r="I12" s="70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activeCell="B6" sqref="B6:F6"/>
    </sheetView>
  </sheetViews>
  <sheetFormatPr defaultColWidth="8.796875" defaultRowHeight="17.399999999999999"/>
  <cols>
    <col min="1" max="1" width="17.5" customWidth="1"/>
    <col min="2" max="2" width="14.296875" customWidth="1"/>
    <col min="3" max="3" width="13" customWidth="1"/>
    <col min="4" max="4" width="25.5" customWidth="1"/>
    <col min="5" max="5" width="11.5" customWidth="1"/>
    <col min="6" max="6" width="24.296875" customWidth="1"/>
  </cols>
  <sheetData>
    <row r="1" spans="1:6" ht="25.8" customHeight="1">
      <c r="A1" s="42" t="s">
        <v>98</v>
      </c>
      <c r="B1" s="43"/>
      <c r="C1" s="43"/>
      <c r="D1" s="43"/>
      <c r="E1" s="43"/>
      <c r="F1" s="43"/>
    </row>
    <row r="2" spans="1:6">
      <c r="A2" s="44" t="s">
        <v>99</v>
      </c>
      <c r="B2" s="45" t="s">
        <v>124</v>
      </c>
      <c r="C2" s="44" t="s">
        <v>100</v>
      </c>
      <c r="D2" s="47" t="s">
        <v>125</v>
      </c>
      <c r="E2" s="49" t="s">
        <v>101</v>
      </c>
      <c r="F2" s="51">
        <v>46307</v>
      </c>
    </row>
    <row r="3" spans="1:6">
      <c r="A3" s="44"/>
      <c r="B3" s="46"/>
      <c r="C3" s="44"/>
      <c r="D3" s="48"/>
      <c r="E3" s="50"/>
      <c r="F3" s="48"/>
    </row>
    <row r="4" spans="1:6" ht="186" customHeight="1">
      <c r="A4" s="26" t="s">
        <v>102</v>
      </c>
      <c r="B4" s="77" t="s">
        <v>126</v>
      </c>
      <c r="C4" s="40"/>
      <c r="D4" s="40"/>
      <c r="E4" s="40"/>
      <c r="F4" s="40"/>
    </row>
    <row r="5" spans="1:6" ht="25.2" customHeight="1">
      <c r="A5" s="26" t="s">
        <v>103</v>
      </c>
      <c r="B5" s="77" t="s">
        <v>127</v>
      </c>
      <c r="C5" s="40"/>
      <c r="D5" s="40"/>
      <c r="E5" s="40"/>
      <c r="F5" s="40"/>
    </row>
    <row r="6" spans="1:6" ht="86.4" customHeight="1">
      <c r="A6" s="26" t="s">
        <v>4</v>
      </c>
      <c r="B6" s="41" t="s">
        <v>123</v>
      </c>
      <c r="C6" s="41"/>
      <c r="D6" s="41"/>
      <c r="E6" s="41"/>
      <c r="F6" s="41"/>
    </row>
    <row r="16" spans="1:6">
      <c r="A16" s="39"/>
      <c r="B16" s="39"/>
      <c r="C16" s="39"/>
      <c r="D16" s="39"/>
      <c r="E16" s="39"/>
      <c r="F16" s="39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건우 박</cp:lastModifiedBy>
  <dcterms:modified xsi:type="dcterms:W3CDTF">2026-10-12T02:48:47Z</dcterms:modified>
</cp:coreProperties>
</file>