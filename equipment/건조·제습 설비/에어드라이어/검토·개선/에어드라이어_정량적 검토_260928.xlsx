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IODA\Desktop\오주현\aas 담당 장비 최종 수정용\0928 최종제출\에어드라이어\"/>
    </mc:Choice>
  </mc:AlternateContent>
  <xr:revisionPtr revIDLastSave="0" documentId="13_ncr:1_{11E9E67B-EA36-4677-A7A6-F5A420379AD6}" xr6:coauthVersionLast="47" xr6:coauthVersionMax="47" xr10:uidLastSave="{00000000-0000-0000-0000-000000000000}"/>
  <bookViews>
    <workbookView xWindow="420" yWindow="1275" windowWidth="21600" windowHeight="11295" activeTab="1" xr2:uid="{5D672DD9-5B8D-4463-AED7-35C87E05FECA}"/>
  </bookViews>
  <sheets>
    <sheet name="AAS Model Checklist Information" sheetId="1" r:id="rId1"/>
    <sheet name="AAS Model Checklist" sheetId="2" r:id="rId2"/>
    <sheet name="AAS Model Checklist Result" sheetId="3" r:id="rId3"/>
    <sheet name="Additional Consider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4" i="3" s="1"/>
  <c r="G5" i="3" l="1"/>
  <c r="G10" i="3"/>
  <c r="H4" i="3" l="1"/>
  <c r="H3" i="3"/>
  <c r="H8" i="3"/>
  <c r="H9" i="3"/>
  <c r="H6" i="3"/>
  <c r="H7" i="3"/>
  <c r="H5" i="3" l="1"/>
  <c r="H10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<sst xmlns="http://schemas.openxmlformats.org/spreadsheetml/2006/main" count="158" uniqueCount="124">
  <si>
    <t>기본정보</t>
    <phoneticPr fontId="2" type="noConversion"/>
  </si>
  <si>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</si>
  <si>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</si>
  <si>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</si>
  <si>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</si>
  <si>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</si>
  <si>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</si>
  <si>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</si>
  <si>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</si>
  <si>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</si>
  <si>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</si>
  <si>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</si>
  <si>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</si>
  <si>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</si>
  <si>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Id 버전</t>
    <phoneticPr fontId="2" type="noConversion"/>
  </si>
  <si>
    <t>옵션</t>
    <phoneticPr fontId="2" type="noConversion"/>
  </si>
  <si>
    <t>description 또는 definition 여부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</si>
  <si>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</si>
  <si>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</si>
  <si>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</si>
  <si>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</si>
  <si>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</si>
  <si>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</si>
  <si>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</si>
  <si>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</si>
  <si>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</si>
  <si>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</si>
  <si>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정보</t>
    <phoneticPr fontId="2" type="noConversion"/>
  </si>
  <si>
    <t>IRDI 관련 내용</t>
    <phoneticPr fontId="2" type="noConversion"/>
  </si>
  <si>
    <t>IRI 양식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</si>
  <si>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</si>
  <si>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</si>
  <si>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</si>
  <si>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</si>
  <si>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</si>
  <si>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</si>
  <si>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</si>
  <si>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</si>
  <si>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</si>
  <si>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AAS Model Checklist Information</t>
    <phoneticPr fontId="2" type="noConversion"/>
  </si>
  <si>
    <t>AAS 모델링시 참조한 표준 및 근거자료에 대한 버전을 확인한다.
예시) CDD 버전, eCl@ss 버전, ETIM 버전 등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</si>
  <si>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</si>
  <si>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</si>
  <si>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</si>
  <si>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</si>
  <si>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</si>
  <si>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</si>
  <si>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</si>
  <si>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t>추가 검토사항</t>
    <phoneticPr fontId="2" type="noConversion"/>
  </si>
  <si>
    <t>2. 소속</t>
    <phoneticPr fontId="2" type="noConversion"/>
  </si>
  <si>
    <t>1. 검토자</t>
    <phoneticPr fontId="2" type="noConversion"/>
  </si>
  <si>
    <t>3. 검토일</t>
    <phoneticPr fontId="2" type="noConversion"/>
  </si>
  <si>
    <t>4. 검토사항</t>
    <phoneticPr fontId="2" type="noConversion"/>
  </si>
  <si>
    <t>5. 기타사항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</si>
  <si>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</si>
  <si>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</si>
  <si>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</si>
  <si>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</si>
  <si>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</si>
  <si>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체크리스트
참조/공통체크사항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</si>
  <si>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</si>
  <si>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</si>
  <si>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</si>
  <si>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</si>
  <si>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</si>
  <si>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</si>
  <si>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</si>
  <si>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</si>
  <si>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</si>
  <si>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기타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</si>
  <si>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</si>
  <si>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</si>
  <si>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</si>
  <si>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</si>
  <si>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각 항목의 Id 양식을 확인하고, IRDI 형식인지 IRI 형식인지 구분한다.
IRDI인 경우, 해당 항목이 CDD/Ecl@ss에 존재하여야 한다.
IRI인 경우, 정해진 양식을 준수하고 있는지 확인한다.</t>
    <phoneticPr fontId="2" type="noConversion"/>
  </si>
  <si>
    <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</si>
  <si>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</si>
  <si>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</si>
  <si>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</si>
  <si>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</si>
  <si>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</si>
  <si>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</si>
  <si>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</si>
  <si>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</si>
  <si>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>* 본 체크리스트는 2026년 중소기업벤처부 과제공고 기준을 대상으로 제작하였습니다.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</si>
  <si>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</si>
  <si>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</si>
  <si>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</si>
  <si>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장비특화 Submodel 구성</t>
    <phoneticPr fontId="2" type="noConversion"/>
  </si>
  <si>
    <t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t>
    <phoneticPr fontId="2" type="noConversion"/>
  </si>
  <si>
    <r>
      <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t>
    </r>
    <r>
      <rPr>
        <sz val="10"/>
        <color theme="1"/>
        <rFont val="맑은 고딕"/>
        <family val="3"/>
        <charset val="129"/>
      </rPr>
      <t>③ Property의 완성도 및 충실도에 대한 정성적 평가를 진행한다. 즉, 본 체크리스트를 통해 정량적으로 평가하지는 않지만, 이후 전문가들에 의해 Property 개수, Property 의미 등이 정성적으로 평가될 예정이다.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</rPr>
      <t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2"/>
        <charset val="129"/>
      </rPr>
      <t>⑤ 모</t>
    </r>
    <r>
      <rPr>
        <sz val="10"/>
        <color theme="1"/>
        <rFont val="맑은 고딕"/>
        <family val="3"/>
        <charset val="129"/>
      </rPr>
      <t>델 제출 시에는 "「AAS 제조데이터 표준 참조모델 사전 검증 보고서」 작성 요령"에 따라 사전 검증보고서를 제출하여야 한다.</t>
    </r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</si>
  <si>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</si>
  <si>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</si>
  <si>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</si>
  <si>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</si>
  <si>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</si>
  <si>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</si>
  <si>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</si>
  <si>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</si>
  <si>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</si>
  <si>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</si>
  <si>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r>
      <t xml:space="preserve">
구조 : 
- Submodel: </t>
    </r>
    <r>
      <rPr>
        <u/>
        <sz val="10"/>
        <color theme="1"/>
        <rFont val="맑은 고딕"/>
        <family val="3"/>
        <charset val="129"/>
      </rPr>
      <t xml:space="preserve">KOSMO 홈페이지주소/ids/sm/AAS명/Submodel명/version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https://www.smart-factory.kr/ids/sm/ACB/TechnicalData/1/0
- Submodel 외 항목: </t>
    </r>
    <r>
      <rPr>
        <u/>
        <sz val="10"/>
        <color theme="1"/>
        <rFont val="맑은 고딕"/>
        <family val="3"/>
        <charset val="129"/>
        <scheme val="minor"/>
      </rPr>
      <t xml:space="preserve">KOSMO 홈페이지주소/ids/카테고리/변수명/version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https://www.smart-factory.kr/ids/cd/TypeOfActuator/1/0
       https://www.smart-factory.kr/ids/aas/ACB/1/0
</t>
    </r>
    <r>
      <rPr>
        <sz val="10"/>
        <color theme="1"/>
        <rFont val="맑은 고딕"/>
        <family val="3"/>
        <charset val="129"/>
      </rPr>
      <t xml:space="preserve">* IDTA 표준 서브모델 템플릿을 사용한 경우에는 IRI를 변경하지 않고, 그대로 사용해야 한다. 단, 서브모델의 Id는 IDTA에서 정의한 IRI가 있더라도 중기부에서 정의한 구조를 사용해야 한다.
</t>
    </r>
    <r>
      <rPr>
        <b/>
        <sz val="10"/>
        <color rgb="FFFF0000"/>
        <rFont val="맑은 고딕"/>
        <family val="2"/>
        <charset val="129"/>
      </rPr>
      <t>* AAS와 Submodel에 한하여 administration에 버전 정보를 입력하고 ID 뒷부분 '/version' 과 일치 시킬것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
* 용어설명
sm: Submodel
cd : ConceptDescription
aas : AAS
        </t>
    </r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</si>
  <si>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r>
      <rPr>
        <b/>
        <sz val="10"/>
        <color rgb="FF0070C0"/>
        <rFont val="맑은 고딕"/>
        <family val="2"/>
        <charset val="129"/>
        <scheme val="minor"/>
      </rPr>
      <t xml:space="preserve">
</t>
    </r>
    <phoneticPr fontId="2" type="noConversion"/>
  </si>
  <si>
    <r>
      <t>idShort가 설정되어 있는지 확인한다.
* Naming rule/Convention (권고사항)
① 공백, 특수문</t>
    </r>
    <r>
      <rPr>
        <sz val="10"/>
        <color theme="1"/>
        <rFont val="맑은 고딕"/>
        <family val="3"/>
        <charset val="129"/>
        <scheme val="minor"/>
      </rPr>
      <t xml:space="preserve">자(‘_’, underbar, </t>
    </r>
    <r>
      <rPr>
        <sz val="10"/>
        <color rgb="FFFF0000"/>
        <rFont val="맑은 고딕"/>
        <family val="3"/>
        <charset val="129"/>
      </rPr>
      <t xml:space="preserve">‘-‘, hyphen </t>
    </r>
    <r>
      <rPr>
        <sz val="10"/>
        <color theme="1"/>
        <rFont val="맑은 고딕"/>
        <family val="3"/>
        <charset val="129"/>
        <scheme val="minor"/>
      </rPr>
      <t>제외)를</t>
    </r>
    <r>
      <rPr>
        <sz val="10"/>
        <color rgb="FF000000"/>
        <rFont val="맑은 고딕"/>
        <family val="3"/>
        <charset val="129"/>
        <scheme val="minor"/>
      </rPr>
      <t xml:space="preserve"> 포함하지 않음
② 일관된 표기법 사용 / 예) 모든 단어를 띄어쓰기 없이 대문자로 시작
예시) "Rated voltage" -&gt; "RatedVoltage" 또는 "Rated_Voltage" 등등</t>
    </r>
    <phoneticPr fontId="2" type="noConversion"/>
  </si>
  <si>
    <t>충족(원본 예외 포함): AAS, 8개 Submodel 및 258개 SME에 idShort가 설정되어 있음. 206개 ConceptDescription 중 2개 미설정 건은 Technical Data IDTA 원본 상태를 유지함.</t>
    <phoneticPr fontId="2" type="noConversion"/>
  </si>
  <si>
    <t>충족(원본 유지): 자체정의 idShort는 UpperCamelCase 규칙을 적용함. key, currentValue, comment, Standarddeviation 등은 IDTA 원본 표기를 변경하지 않음.</t>
    <phoneticPr fontId="2" type="noConversion"/>
  </si>
  <si>
    <t>충족: AAS ID가 https://www.smart-factory.kr/ids/aas/AirDryer/1/1로 설정되어 있으며 administration의 version/revision 1/1과 일치함.</t>
    <phoneticPr fontId="2" type="noConversion"/>
  </si>
  <si>
    <t>충족: DigitalNameplate, HandoverDocumentation, TechnicalData, OperationalData를 포함한 총 8개 Submodel로 구성되어 있으며 개발계획서의 목록과 일치함.</t>
    <phoneticPr fontId="2" type="noConversion"/>
  </si>
  <si>
    <t>충족: globalAssetId가 https://www.smart-factory.kr/ids/asset/AirDryer/1/0으로 설정되어 있으며 장비명이 포함되어 있음</t>
    <phoneticPr fontId="2" type="noConversion"/>
  </si>
  <si>
    <t>충족: assetInformation.assetKind가 Type으로 설정되어 있음.</t>
    <phoneticPr fontId="2" type="noConversion"/>
  </si>
  <si>
    <t>충족: 8개 Submodel ID에 AirDryer/서브모델명/1/1 형식을 적용했으며 administration 및 ModelReference와 일치함.</t>
    <phoneticPr fontId="2" type="noConversion"/>
  </si>
  <si>
    <t>충족: TechnicalData는 TechnicalPropertyAreas 아래 장비 사양별로 세분화되어 있으며, OperationalData도 운전상태·측정값·알람·카운터 등 목적별 2단계 이상 계층으로 구성됨.</t>
    <phoneticPr fontId="2" type="noConversion"/>
  </si>
  <si>
    <t>충족: Operation, BasicEventElement, Capability는 사용하지 않음(각 0개).</t>
    <phoneticPr fontId="2" type="noConversion"/>
  </si>
  <si>
    <t>충족(원본 예외 포함): 258개 SME 중 254개가 패키지 내부 ConceptDescription에 연결됨. 나머지 4건은 IDTA 원본의 CD 미제공 또는 ID 불일치 항목으로 원본 상태를 유지함.</t>
    <phoneticPr fontId="2" type="noConversion"/>
  </si>
  <si>
    <t>충족: DigitalNameplate와 HandoverDocumentation을 제외한 Property에 실제 예시값이 입력되어 있으며 개발계획서의 예시값과 대조함.</t>
    <phoneticPr fontId="2" type="noConversion"/>
  </si>
  <si>
    <t>충족(원본 예외 포함): 장비 자체 추가 Property의 valueType과 ConceptDescription dataType은 일치함. Predictive Maintenance의 double/STRING 불일치 및 PVM의 dataType 미제공 건은 IDTA 공식 원본과 동일하여 수정하지 않고 예외로 기록함.</t>
    <phoneticPr fontId="2" type="noConversion"/>
  </si>
  <si>
    <t>충족: 자체 추가 eCl@ss IRDI와 IEC CDD 6개 항목을 공식 메타데이터의 버전·명칭·정의와 대조했으며, IDTA 포함 IRDI는 공식 템플릿 원본과 일치함.</t>
    <phoneticPr fontId="2" type="noConversion"/>
  </si>
  <si>
    <t>충족: ConceptDescription 206개 모두 영문 definition을 포함함.</t>
    <phoneticPr fontId="2" type="noConversion"/>
  </si>
  <si>
    <t>충족(원본 예외 포함): 장비 자체 추가 Property용 ConceptDescription에는 dataType이 설정되어 있음. 구조용 SMC/SML, CDD 클래스 및 IDTA 원본의 dataType 미제공 항목은 예외로 유지함.</t>
    <phoneticPr fontId="2" type="noConversion"/>
  </si>
  <si>
    <t>충족: defaultThumbnail이 file:///aasx/files/images/AIRDRYER_ProductImage.jpg로 설정되어 있으며해당 JPEG 파일이 AASX 패키지에 포함되어 있음.</t>
    <phoneticPr fontId="2" type="noConversion"/>
  </si>
  <si>
    <r>
      <t xml:space="preserve">충족: 8개 Submodel의 </t>
    </r>
    <r>
      <rPr>
        <sz val="10"/>
        <color theme="1"/>
        <rFont val="Arial Unicode MS"/>
        <family val="2"/>
      </rPr>
      <t>kind</t>
    </r>
    <r>
      <rPr>
        <sz val="10"/>
        <color theme="1"/>
        <rFont val="맑은 고딕"/>
        <family val="2"/>
        <charset val="129"/>
        <scheme val="minor"/>
      </rPr>
      <t xml:space="preserve">가 모두 </t>
    </r>
    <r>
      <rPr>
        <sz val="10"/>
        <color theme="1"/>
        <rFont val="Arial Unicode MS"/>
        <family val="2"/>
      </rPr>
      <t>Template</t>
    </r>
    <r>
      <rPr>
        <sz val="10"/>
        <color theme="1"/>
        <rFont val="맑은 고딕"/>
        <family val="2"/>
        <charset val="129"/>
        <scheme val="minor"/>
      </rPr>
      <t>로 설정되어 있음.</t>
    </r>
  </si>
  <si>
    <t xml:space="preserve"> </t>
    <phoneticPr fontId="2" type="noConversion"/>
  </si>
  <si>
    <t>충족: IDTA 기반 Submodel의 semanticId는 표준 템플릿의 값을 유지함. 자체정의 OperationalData의 semanticId는 https://www.smart-factory.kr/ids/sm/AirDryer/OperationalData/1/1이며, 최종 제출 AASX의 실제 값과 일치함.</t>
    <phoneticPr fontId="2" type="noConversion"/>
  </si>
  <si>
    <t>충족: 적용한 IDTA 기반 7개 Submodel의 템플릿 버전은 Digital Nameplate 3.0.1, Handover Documentation 2.0.1, Technical Data 2.0.1, Process Parameters Type 1.0, Predictive Maintenance 1.0, Time Series Data 1.1.1, PVM 1.0임. 각 버전에 대응하는 공식 Published 템플릿 원본 링크를 에어드라이어_가이던스_260928의 해당 Submodel 설명에 추가하였으며, SMT 배포 버전과 본 참조모델의 적용 AAS 메타모델 3.1을 구분하여 명시함.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</si>
</sst>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u/>
      <sz val="10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  <scheme val="minor"/>
    </font>
    <font>
      <b/>
      <sz val="10"/>
      <color theme="1"/>
      <name val="Arial Unicode MS"/>
      <family val="3"/>
      <charset val="129"/>
    </font>
    <font>
      <b/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rgb="FF0070C0"/>
      <name val="맑은 고딕"/>
      <family val="2"/>
      <charset val="129"/>
      <scheme val="minor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FF0000"/>
      <name val="맑은 고딕"/>
      <family val="2"/>
      <charset val="129"/>
    </font>
    <font>
      <sz val="10"/>
      <color rgb="FFFF0000"/>
      <name val="맑은 고딕"/>
      <family val="3"/>
      <charset val="129"/>
    </font>
    <font>
      <sz val="10"/>
      <color theme="1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89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2" borderId="2" xfId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11" fillId="0" borderId="0" xfId="0" quotePrefix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8" fillId="0" borderId="2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8" fillId="0" borderId="2" xfId="0" quotePrefix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2" xfId="0" applyFont="1" applyBorder="1" applyAlignment="1">
      <alignment horizontal="center" vertical="center"/>
    </xf>
    <xf numFmtId="0" fontId="11" fillId="0" borderId="2" xfId="0" quotePrefix="1" applyFont="1" applyBorder="1" applyAlignment="1">
      <alignment vertical="center" wrapText="1"/>
    </xf>
    <xf numFmtId="0" fontId="2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5" fillId="0" borderId="6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left" vertical="center" wrapText="1"/>
    </xf>
    <xf numFmtId="49" fontId="4" fillId="0" borderId="7" xfId="0" quotePrefix="1" applyNumberFormat="1" applyFont="1" applyBorder="1" applyAlignment="1">
      <alignment horizontal="left" vertical="center"/>
    </xf>
    <xf numFmtId="49" fontId="4" fillId="0" borderId="8" xfId="0" quotePrefix="1" applyNumberFormat="1" applyFont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7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FFFFCC"/>
      <color rgb="FFC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3DE338-BA9A-CF6E-3740-972146C21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2436" y="3528330"/>
          <a:ext cx="4701200" cy="163941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B537-142C-4256-9234-CE27C21F9048}">
  <sheetPr codeName="Sheet1"/>
  <dimension ref="A1:F16"/>
  <sheetViews>
    <sheetView topLeftCell="A4" zoomScale="140" zoomScaleNormal="140" workbookViewId="0">
      <selection activeCell="C10" sqref="C10"/>
    </sheetView>
  </sheetViews>
  <sheetFormatPr defaultColWidth="8.875" defaultRowHeight="16.5"/>
  <cols>
    <col min="1" max="1" width="15.5" style="8" customWidth="1"/>
    <col min="2" max="2" width="26.5" style="8" bestFit="1" customWidth="1"/>
    <col min="3" max="3" width="62.5" style="8" customWidth="1"/>
    <col min="4" max="4" width="65" style="8" customWidth="1"/>
    <col min="5" max="5" width="8.875" customWidth="1"/>
    <col min="6" max="6" width="8.875" style="20" customWidth="1"/>
  </cols>
  <sheetData>
    <row r="1" spans="1:6" ht="20.25">
      <c r="A1" s="54" t="s">
        <v>39</v>
      </c>
      <c r="B1" s="55"/>
      <c r="C1" s="55"/>
      <c r="D1" s="56"/>
    </row>
    <row r="2" spans="1:6">
      <c r="A2" s="1" t="s">
        <v>3</v>
      </c>
      <c r="B2" s="1" t="s">
        <v>27</v>
      </c>
      <c r="C2" s="2" t="s">
        <v>1</v>
      </c>
      <c r="D2" s="1" t="s">
        <v>2</v>
      </c>
    </row>
    <row r="3" spans="1:6" ht="44.25" customHeight="1">
      <c r="A3" s="57" t="s">
        <v>0</v>
      </c>
      <c r="B3" s="67" t="s">
        <v>84</v>
      </c>
      <c r="C3" s="68"/>
      <c r="D3" s="46" t="e" vm="1">
        <v>#VALUE!</v>
      </c>
    </row>
    <row r="4" spans="1:6" ht="51" customHeight="1">
      <c r="A4" s="58"/>
      <c r="B4" s="4" t="s">
        <v>14</v>
      </c>
      <c r="C4" s="6" t="s">
        <v>40</v>
      </c>
      <c r="D4" s="9"/>
    </row>
    <row r="5" spans="1:6" ht="78" customHeight="1">
      <c r="A5" s="58"/>
      <c r="B5" s="10" t="s">
        <v>28</v>
      </c>
      <c r="C5" s="6" t="s">
        <v>75</v>
      </c>
      <c r="D5" s="9"/>
    </row>
    <row r="6" spans="1:6" ht="283.5">
      <c r="A6" s="58"/>
      <c r="B6" s="4" t="s">
        <v>29</v>
      </c>
      <c r="C6" s="6" t="s">
        <v>101</v>
      </c>
      <c r="D6" s="4"/>
      <c r="F6" s="21"/>
    </row>
    <row r="7" spans="1:6" ht="182.45" customHeight="1">
      <c r="A7" s="59"/>
      <c r="B7" s="9" t="s">
        <v>88</v>
      </c>
      <c r="C7" s="45" t="s">
        <v>102</v>
      </c>
      <c r="D7" s="11" t="e" vm="2">
        <v>#VALUE!</v>
      </c>
      <c r="F7" s="21"/>
    </row>
    <row r="8" spans="1:6" ht="94.5">
      <c r="A8" s="65" t="s">
        <v>59</v>
      </c>
      <c r="B8" s="4" t="s">
        <v>11</v>
      </c>
      <c r="C8" s="7" t="s">
        <v>103</v>
      </c>
      <c r="D8" s="4"/>
    </row>
    <row r="9" spans="1:6" ht="61.5" customHeight="1">
      <c r="A9" s="66"/>
      <c r="B9" s="4" t="s">
        <v>13</v>
      </c>
      <c r="C9" s="6" t="s">
        <v>74</v>
      </c>
      <c r="D9" s="4"/>
    </row>
    <row r="10" spans="1:6" ht="94.5">
      <c r="A10" s="66"/>
      <c r="B10" s="4" t="s">
        <v>16</v>
      </c>
      <c r="C10" s="47" t="s">
        <v>89</v>
      </c>
      <c r="D10" s="4"/>
    </row>
    <row r="11" spans="1:6" ht="243">
      <c r="A11" s="66"/>
      <c r="B11" s="4" t="s">
        <v>69</v>
      </c>
      <c r="C11" s="41" t="s">
        <v>90</v>
      </c>
      <c r="D11" s="4"/>
    </row>
    <row r="16" spans="1:6">
      <c r="B16"/>
    </row>
  </sheetData>
  <mergeCells count="4">
    <mergeCell ref="A1:D1"/>
    <mergeCell ref="A8:A11"/>
    <mergeCell ref="B3:C3"/>
    <mergeCell ref="A3:A7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tabSelected="1" topLeftCell="G7" zoomScale="115" zoomScaleNormal="115" workbookViewId="0">
      <selection activeCell="G10" sqref="G10"/>
    </sheetView>
  </sheetViews>
  <sheetFormatPr defaultColWidth="8.875" defaultRowHeight="16.5"/>
  <cols>
    <col min="1" max="1" width="17.5" style="13" bestFit="1" customWidth="1"/>
    <col min="2" max="2" width="4.5" style="13" bestFit="1" customWidth="1"/>
    <col min="3" max="3" width="6.375" style="13" bestFit="1" customWidth="1"/>
    <col min="4" max="4" width="26.5" style="13" bestFit="1" customWidth="1"/>
    <col min="5" max="5" width="71.375" style="13" customWidth="1"/>
    <col min="6" max="6" width="10" style="13" customWidth="1"/>
    <col min="7" max="7" width="147.625" style="32" customWidth="1"/>
    <col min="8" max="8" width="24" customWidth="1"/>
    <col min="9" max="9" width="107.375" style="22" customWidth="1"/>
    <col min="10" max="10" width="13" style="24" customWidth="1"/>
    <col min="11" max="11" width="39.5" customWidth="1"/>
  </cols>
  <sheetData>
    <row r="1" spans="1:11" ht="20.25">
      <c r="A1" s="54" t="s">
        <v>83</v>
      </c>
      <c r="B1" s="55"/>
      <c r="C1" s="55"/>
      <c r="D1" s="55"/>
      <c r="E1" s="55"/>
      <c r="F1" s="55"/>
      <c r="G1" s="56"/>
      <c r="I1" s="29"/>
      <c r="K1" s="24"/>
    </row>
    <row r="2" spans="1:11">
      <c r="A2" s="1" t="s">
        <v>3</v>
      </c>
      <c r="B2" s="1" t="s">
        <v>4</v>
      </c>
      <c r="C2" s="1" t="s">
        <v>5</v>
      </c>
      <c r="D2" s="1" t="s">
        <v>6</v>
      </c>
      <c r="E2" s="2" t="s">
        <v>1</v>
      </c>
      <c r="F2" s="2" t="s">
        <v>7</v>
      </c>
      <c r="G2" s="2" t="s">
        <v>58</v>
      </c>
      <c r="K2" s="25"/>
    </row>
    <row r="3" spans="1:11" ht="27">
      <c r="A3" s="3" t="s">
        <v>8</v>
      </c>
      <c r="B3" s="4">
        <v>1</v>
      </c>
      <c r="C3" s="4" t="s">
        <v>9</v>
      </c>
      <c r="D3" s="4" t="s">
        <v>10</v>
      </c>
      <c r="E3" s="50" t="s">
        <v>91</v>
      </c>
      <c r="F3" s="17" t="b">
        <v>1</v>
      </c>
      <c r="G3" s="36" t="s">
        <v>119</v>
      </c>
      <c r="K3" s="25"/>
    </row>
    <row r="4" spans="1:11" ht="24" customHeight="1">
      <c r="A4" s="57" t="s">
        <v>76</v>
      </c>
      <c r="B4" s="9">
        <v>2</v>
      </c>
      <c r="C4" s="9" t="s">
        <v>9</v>
      </c>
      <c r="D4" s="9" t="s">
        <v>11</v>
      </c>
      <c r="E4" s="48" t="s">
        <v>12</v>
      </c>
      <c r="F4" s="17" t="b">
        <v>1</v>
      </c>
      <c r="G4" s="36" t="s">
        <v>104</v>
      </c>
      <c r="K4" s="25"/>
    </row>
    <row r="5" spans="1:11" ht="67.5">
      <c r="A5" s="59"/>
      <c r="B5" s="9">
        <v>3</v>
      </c>
      <c r="C5" s="9" t="s">
        <v>9</v>
      </c>
      <c r="D5" s="9" t="s">
        <v>55</v>
      </c>
      <c r="E5" s="48" t="s">
        <v>95</v>
      </c>
      <c r="F5" s="17" t="b">
        <v>1</v>
      </c>
      <c r="G5" s="36" t="s">
        <v>105</v>
      </c>
      <c r="K5" s="25"/>
    </row>
    <row r="6" spans="1:11" ht="54">
      <c r="A6" s="57" t="s">
        <v>60</v>
      </c>
      <c r="B6" s="4">
        <v>4</v>
      </c>
      <c r="C6" s="4" t="s">
        <v>9</v>
      </c>
      <c r="D6" s="4" t="s">
        <v>13</v>
      </c>
      <c r="E6" s="6" t="s">
        <v>96</v>
      </c>
      <c r="F6" s="17" t="b">
        <v>1</v>
      </c>
      <c r="G6" s="31" t="s">
        <v>106</v>
      </c>
      <c r="K6" s="25"/>
    </row>
    <row r="7" spans="1:11" ht="54">
      <c r="A7" s="58"/>
      <c r="B7" s="5">
        <v>5</v>
      </c>
      <c r="C7" s="4" t="s">
        <v>9</v>
      </c>
      <c r="D7" s="4" t="s">
        <v>17</v>
      </c>
      <c r="E7" s="6" t="s">
        <v>92</v>
      </c>
      <c r="F7" s="17" t="b">
        <v>1</v>
      </c>
      <c r="G7" s="37" t="s">
        <v>107</v>
      </c>
      <c r="K7" s="25"/>
    </row>
    <row r="8" spans="1:11" ht="24.95" customHeight="1">
      <c r="A8" s="58"/>
      <c r="B8" s="4">
        <v>6</v>
      </c>
      <c r="C8" s="4" t="s">
        <v>15</v>
      </c>
      <c r="D8" s="4" t="s">
        <v>18</v>
      </c>
      <c r="E8" s="6" t="s">
        <v>19</v>
      </c>
      <c r="F8" s="17" t="b">
        <v>1</v>
      </c>
      <c r="G8" s="37" t="s">
        <v>108</v>
      </c>
      <c r="K8" s="25"/>
    </row>
    <row r="9" spans="1:11" ht="24.95" customHeight="1">
      <c r="A9" s="59"/>
      <c r="B9" s="4">
        <v>7</v>
      </c>
      <c r="C9" s="4" t="s">
        <v>9</v>
      </c>
      <c r="D9" s="4" t="s">
        <v>20</v>
      </c>
      <c r="E9" s="31" t="s">
        <v>56</v>
      </c>
      <c r="F9" s="18" t="b">
        <v>1</v>
      </c>
      <c r="G9" s="37" t="s">
        <v>109</v>
      </c>
      <c r="K9" s="25"/>
    </row>
    <row r="10" spans="1:11" ht="33.950000000000003" customHeight="1">
      <c r="A10" s="57" t="s">
        <v>21</v>
      </c>
      <c r="B10" s="9">
        <v>8</v>
      </c>
      <c r="C10" s="9" t="s">
        <v>9</v>
      </c>
      <c r="D10" s="9" t="s">
        <v>77</v>
      </c>
      <c r="E10" s="49" t="s">
        <v>78</v>
      </c>
      <c r="F10" s="18" t="b">
        <v>1</v>
      </c>
      <c r="G10" s="37" t="s">
        <v>123</v>
      </c>
      <c r="H10" t="s">
        <v>121</v>
      </c>
      <c r="K10" s="25"/>
    </row>
    <row r="11" spans="1:11" ht="54">
      <c r="A11" s="58"/>
      <c r="B11" s="4">
        <v>9</v>
      </c>
      <c r="C11" s="4" t="s">
        <v>9</v>
      </c>
      <c r="D11" s="4" t="s">
        <v>13</v>
      </c>
      <c r="E11" s="6" t="s">
        <v>96</v>
      </c>
      <c r="F11" s="17" t="b">
        <v>1</v>
      </c>
      <c r="G11" s="37" t="s">
        <v>110</v>
      </c>
      <c r="K11" s="27"/>
    </row>
    <row r="12" spans="1:11" ht="27">
      <c r="A12" s="58"/>
      <c r="B12" s="5">
        <v>10</v>
      </c>
      <c r="C12" s="4" t="s">
        <v>9</v>
      </c>
      <c r="D12" s="4" t="s">
        <v>22</v>
      </c>
      <c r="E12" s="6" t="s">
        <v>54</v>
      </c>
      <c r="F12" s="17" t="b">
        <v>1</v>
      </c>
      <c r="G12" s="37" t="s">
        <v>122</v>
      </c>
      <c r="H12" t="s">
        <v>121</v>
      </c>
      <c r="I12" s="23"/>
      <c r="J12" s="28"/>
      <c r="K12" s="25"/>
    </row>
    <row r="13" spans="1:11" ht="24.95" customHeight="1">
      <c r="A13" s="58"/>
      <c r="B13" s="4">
        <v>11</v>
      </c>
      <c r="C13" s="4" t="s">
        <v>9</v>
      </c>
      <c r="D13" s="4" t="s">
        <v>23</v>
      </c>
      <c r="E13" s="31" t="s">
        <v>57</v>
      </c>
      <c r="F13" s="18" t="b">
        <v>1</v>
      </c>
      <c r="G13" s="12" t="s">
        <v>120</v>
      </c>
      <c r="K13" s="25"/>
    </row>
    <row r="14" spans="1:11" ht="129.94999999999999" customHeight="1">
      <c r="A14" s="59"/>
      <c r="B14" s="9">
        <v>12</v>
      </c>
      <c r="C14" s="9" t="s">
        <v>15</v>
      </c>
      <c r="D14" s="9" t="s">
        <v>79</v>
      </c>
      <c r="E14" s="49" t="s">
        <v>97</v>
      </c>
      <c r="F14" s="18" t="b">
        <v>1</v>
      </c>
      <c r="G14" s="38" t="s">
        <v>111</v>
      </c>
      <c r="K14" s="25"/>
    </row>
    <row r="15" spans="1:11" ht="27">
      <c r="A15" s="63" t="s">
        <v>85</v>
      </c>
      <c r="B15" s="9">
        <v>13</v>
      </c>
      <c r="C15" s="9" t="s">
        <v>15</v>
      </c>
      <c r="D15" s="46" t="s">
        <v>82</v>
      </c>
      <c r="E15" s="48" t="s">
        <v>98</v>
      </c>
      <c r="F15" s="18" t="b">
        <v>1</v>
      </c>
      <c r="G15" s="38" t="s">
        <v>112</v>
      </c>
      <c r="K15" s="25"/>
    </row>
    <row r="16" spans="1:11" ht="26.1" customHeight="1">
      <c r="A16" s="64"/>
      <c r="B16" s="4">
        <v>14</v>
      </c>
      <c r="C16" s="4" t="s">
        <v>9</v>
      </c>
      <c r="D16" s="4" t="s">
        <v>80</v>
      </c>
      <c r="E16" s="6" t="s">
        <v>87</v>
      </c>
      <c r="F16" s="18" t="b">
        <v>1</v>
      </c>
      <c r="G16" s="38" t="s">
        <v>113</v>
      </c>
      <c r="K16" s="25"/>
    </row>
    <row r="17" spans="1:11" ht="53.1" customHeight="1">
      <c r="A17" s="63" t="s">
        <v>86</v>
      </c>
      <c r="B17" s="9">
        <v>15</v>
      </c>
      <c r="C17" s="9" t="s">
        <v>9</v>
      </c>
      <c r="D17" s="9" t="s">
        <v>24</v>
      </c>
      <c r="E17" s="48" t="s">
        <v>99</v>
      </c>
      <c r="F17" s="17" t="b">
        <v>1</v>
      </c>
      <c r="G17" s="39" t="s">
        <v>114</v>
      </c>
      <c r="K17" s="25"/>
    </row>
    <row r="18" spans="1:11" ht="36.950000000000003" customHeight="1">
      <c r="A18" s="64"/>
      <c r="B18" s="5">
        <v>16</v>
      </c>
      <c r="C18" s="4" t="s">
        <v>9</v>
      </c>
      <c r="D18" s="10" t="s">
        <v>81</v>
      </c>
      <c r="E18" s="6" t="s">
        <v>72</v>
      </c>
      <c r="F18" s="42" t="b">
        <v>1</v>
      </c>
      <c r="G18" s="44" t="s">
        <v>115</v>
      </c>
      <c r="K18" s="25"/>
    </row>
    <row r="19" spans="1:11" ht="69" customHeight="1">
      <c r="A19" s="57" t="s">
        <v>25</v>
      </c>
      <c r="B19" s="5">
        <v>17</v>
      </c>
      <c r="C19" s="4" t="s">
        <v>9</v>
      </c>
      <c r="D19" s="4" t="s">
        <v>13</v>
      </c>
      <c r="E19" s="6" t="s">
        <v>94</v>
      </c>
      <c r="F19" s="17" t="b">
        <v>1</v>
      </c>
      <c r="G19" s="31" t="s">
        <v>116</v>
      </c>
      <c r="K19" s="25"/>
    </row>
    <row r="20" spans="1:11" ht="53.1" customHeight="1">
      <c r="A20" s="58"/>
      <c r="B20" s="4">
        <v>18</v>
      </c>
      <c r="C20" s="10" t="s">
        <v>9</v>
      </c>
      <c r="D20" s="4" t="s">
        <v>47</v>
      </c>
      <c r="E20" s="6" t="s">
        <v>93</v>
      </c>
      <c r="F20" s="17" t="b">
        <v>1</v>
      </c>
      <c r="G20" s="38" t="s">
        <v>117</v>
      </c>
      <c r="I20" s="23"/>
      <c r="K20" s="25"/>
    </row>
    <row r="21" spans="1:11" ht="53.1" customHeight="1">
      <c r="A21" s="59"/>
      <c r="B21" s="5">
        <v>19</v>
      </c>
      <c r="C21" s="10" t="s">
        <v>9</v>
      </c>
      <c r="D21" s="4" t="s">
        <v>73</v>
      </c>
      <c r="E21" s="6" t="s">
        <v>100</v>
      </c>
      <c r="F21" s="17" t="b">
        <v>1</v>
      </c>
      <c r="G21" s="38" t="s">
        <v>118</v>
      </c>
      <c r="I21" s="23"/>
      <c r="K21" s="25"/>
    </row>
    <row r="22" spans="1:11" ht="51.95" customHeight="1">
      <c r="A22" s="3" t="s">
        <v>2</v>
      </c>
      <c r="B22" s="60" t="s">
        <v>71</v>
      </c>
      <c r="C22" s="61"/>
      <c r="D22" s="61"/>
      <c r="E22" s="61"/>
      <c r="F22" s="61"/>
      <c r="G22" s="62"/>
      <c r="I22" s="23"/>
      <c r="K22" s="25"/>
    </row>
    <row r="23" spans="1:11">
      <c r="A23" s="3" t="s">
        <v>36</v>
      </c>
      <c r="B23" s="40">
        <v>19</v>
      </c>
      <c r="C23" s="51"/>
      <c r="D23" s="52"/>
      <c r="E23" s="52"/>
      <c r="F23" s="52"/>
      <c r="G23" s="53"/>
      <c r="K23" s="25"/>
    </row>
    <row r="24" spans="1:11">
      <c r="B24" s="13" t="s">
        <v>70</v>
      </c>
      <c r="K24" s="25"/>
    </row>
    <row r="25" spans="1:11">
      <c r="K25" s="25"/>
    </row>
    <row r="26" spans="1:11">
      <c r="K26" s="26"/>
    </row>
    <row r="29" spans="1:11">
      <c r="H29" s="13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3"/>
  <sheetViews>
    <sheetView zoomScale="130" zoomScaleNormal="130" workbookViewId="0">
      <selection activeCell="G28" sqref="G28"/>
    </sheetView>
  </sheetViews>
  <sheetFormatPr defaultColWidth="8.875" defaultRowHeight="16.5"/>
  <cols>
    <col min="1" max="4" width="9" style="12"/>
    <col min="5" max="6" width="15" style="12" customWidth="1"/>
    <col min="7" max="7" width="17" style="12" customWidth="1"/>
    <col min="8" max="8" width="21.375" style="12" customWidth="1"/>
    <col min="9" max="9" width="28.5" bestFit="1" customWidth="1"/>
  </cols>
  <sheetData>
    <row r="1" spans="1:10" ht="20.25">
      <c r="A1" s="70" t="s">
        <v>38</v>
      </c>
      <c r="B1" s="71"/>
      <c r="C1" s="71"/>
      <c r="D1" s="71"/>
      <c r="E1" s="71"/>
      <c r="F1" s="71"/>
      <c r="G1" s="71"/>
      <c r="H1" s="71"/>
      <c r="I1" s="71"/>
      <c r="J1" s="19"/>
    </row>
    <row r="2" spans="1:10">
      <c r="A2" s="72" t="s">
        <v>30</v>
      </c>
      <c r="B2" s="72"/>
      <c r="C2" s="72"/>
      <c r="D2" s="72"/>
      <c r="E2" s="1" t="s">
        <v>31</v>
      </c>
      <c r="F2" s="2" t="s">
        <v>32</v>
      </c>
      <c r="G2" s="1" t="s">
        <v>33</v>
      </c>
      <c r="H2" s="1" t="s">
        <v>34</v>
      </c>
      <c r="I2" s="1" t="s">
        <v>2</v>
      </c>
    </row>
    <row r="3" spans="1:10">
      <c r="A3" s="66" t="s">
        <v>35</v>
      </c>
      <c r="B3" s="66"/>
      <c r="C3" s="66"/>
      <c r="D3" s="66"/>
      <c r="E3" s="75" t="s">
        <v>42</v>
      </c>
      <c r="F3" s="76"/>
      <c r="G3" s="11">
        <f>COUNTIF('AAS Model Checklist'!F3:F21, TRUE)</f>
        <v>19</v>
      </c>
      <c r="H3" s="11">
        <f>ROUND(G3/G5, 3) * 100</f>
        <v>100</v>
      </c>
      <c r="I3" s="34" t="s">
        <v>63</v>
      </c>
    </row>
    <row r="4" spans="1:10">
      <c r="A4" s="66"/>
      <c r="B4" s="66"/>
      <c r="C4" s="66"/>
      <c r="D4" s="66"/>
      <c r="E4" s="75" t="s">
        <v>41</v>
      </c>
      <c r="F4" s="76"/>
      <c r="G4" s="43">
        <f>'AAS Model Checklist'!B23 - G3</f>
        <v>0</v>
      </c>
      <c r="H4" s="11">
        <f>ROUND(G4/G5, 3) * 100</f>
        <v>0</v>
      </c>
      <c r="I4" s="34" t="s">
        <v>62</v>
      </c>
    </row>
    <row r="5" spans="1:10">
      <c r="A5" s="66"/>
      <c r="B5" s="66"/>
      <c r="C5" s="66"/>
      <c r="D5" s="66"/>
      <c r="E5" s="14" t="s">
        <v>36</v>
      </c>
      <c r="F5" s="15" t="s">
        <v>26</v>
      </c>
      <c r="G5" s="14">
        <f>SUM(G3:G4)</f>
        <v>19</v>
      </c>
      <c r="H5" s="14">
        <f>SUM(H3:H4)</f>
        <v>100</v>
      </c>
      <c r="I5" s="35" t="s">
        <v>68</v>
      </c>
    </row>
    <row r="6" spans="1:10">
      <c r="A6" s="74" t="s">
        <v>37</v>
      </c>
      <c r="B6" s="74"/>
      <c r="C6" s="74"/>
      <c r="D6" s="74"/>
      <c r="E6" s="73" t="s">
        <v>9</v>
      </c>
      <c r="F6" s="11" t="s">
        <v>43</v>
      </c>
      <c r="G6" s="11">
        <f>COUNTIFS('AAS Model Checklist'!C3:C21, "필수", 'AAS Model Checklist'!F3:F21, TRUE)</f>
        <v>16</v>
      </c>
      <c r="H6" s="11">
        <f>ROUND(G6/G10, 3) * 100</f>
        <v>84.2</v>
      </c>
      <c r="I6" s="34" t="s">
        <v>64</v>
      </c>
    </row>
    <row r="7" spans="1:10">
      <c r="A7" s="74"/>
      <c r="B7" s="74"/>
      <c r="C7" s="74"/>
      <c r="D7" s="74"/>
      <c r="E7" s="73"/>
      <c r="F7" s="11" t="s">
        <v>44</v>
      </c>
      <c r="G7" s="11">
        <f>COUNTIFS('AAS Model Checklist'!C3:C21, "필수", 'AAS Model Checklist'!F3:F21, FALSE)</f>
        <v>0</v>
      </c>
      <c r="H7" s="11">
        <f>ROUND(G7/G10, 3) * 100</f>
        <v>0</v>
      </c>
      <c r="I7" s="34" t="s">
        <v>65</v>
      </c>
    </row>
    <row r="8" spans="1:10">
      <c r="A8" s="74"/>
      <c r="B8" s="74"/>
      <c r="C8" s="74"/>
      <c r="D8" s="74"/>
      <c r="E8" s="73" t="s">
        <v>15</v>
      </c>
      <c r="F8" s="11" t="s">
        <v>45</v>
      </c>
      <c r="G8" s="11">
        <f>COUNTIFS('AAS Model Checklist'!C3:C21, "옵션", 'AAS Model Checklist'!F3:F21, TRUE)</f>
        <v>3</v>
      </c>
      <c r="H8" s="11">
        <f>ROUND(G8/G10, 3) * 100</f>
        <v>15.8</v>
      </c>
      <c r="I8" s="34" t="s">
        <v>66</v>
      </c>
    </row>
    <row r="9" spans="1:10">
      <c r="A9" s="74"/>
      <c r="B9" s="74"/>
      <c r="C9" s="74"/>
      <c r="D9" s="74"/>
      <c r="E9" s="73"/>
      <c r="F9" s="11" t="s">
        <v>46</v>
      </c>
      <c r="G9" s="11">
        <f>COUNTIFS('AAS Model Checklist'!C3:C21, "옵션", 'AAS Model Checklist'!F3:F21, FALSE)</f>
        <v>0</v>
      </c>
      <c r="H9" s="11">
        <f>ROUND(G9/G10, 3) * 100</f>
        <v>0</v>
      </c>
      <c r="I9" s="34" t="s">
        <v>67</v>
      </c>
    </row>
    <row r="10" spans="1:10">
      <c r="A10" s="74"/>
      <c r="B10" s="74"/>
      <c r="C10" s="74"/>
      <c r="D10" s="74"/>
      <c r="E10" s="14" t="s">
        <v>36</v>
      </c>
      <c r="F10" s="16" t="s">
        <v>26</v>
      </c>
      <c r="G10" s="14">
        <f>SUM(G6:G9)</f>
        <v>19</v>
      </c>
      <c r="H10" s="14">
        <f>SUM(H6:H9)</f>
        <v>100</v>
      </c>
      <c r="I10" s="35" t="s">
        <v>68</v>
      </c>
    </row>
    <row r="12" spans="1:10">
      <c r="A12" s="69" t="s">
        <v>61</v>
      </c>
      <c r="B12" s="69"/>
      <c r="C12" s="69"/>
      <c r="D12" s="69"/>
      <c r="E12" s="69"/>
      <c r="F12" s="69"/>
      <c r="G12" s="69"/>
      <c r="H12" s="69"/>
      <c r="I12" s="69"/>
    </row>
    <row r="13" spans="1:10">
      <c r="B13" s="33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D889-563E-433D-90DF-A5D07DA03AD6}">
  <sheetPr codeName="Sheet4"/>
  <dimension ref="A1:F16"/>
  <sheetViews>
    <sheetView zoomScale="85" zoomScaleNormal="85" workbookViewId="0">
      <selection activeCell="B4" sqref="B4:F4"/>
    </sheetView>
  </sheetViews>
  <sheetFormatPr defaultColWidth="8.875" defaultRowHeight="16.5"/>
  <cols>
    <col min="1" max="1" width="17.5" customWidth="1"/>
    <col min="2" max="2" width="14.375" customWidth="1"/>
    <col min="3" max="3" width="13" customWidth="1"/>
    <col min="4" max="4" width="25.5" customWidth="1"/>
    <col min="5" max="5" width="11.5" customWidth="1"/>
    <col min="6" max="6" width="24.375" customWidth="1"/>
  </cols>
  <sheetData>
    <row r="1" spans="1:6" ht="32.25" customHeight="1">
      <c r="A1" s="82" t="s">
        <v>48</v>
      </c>
      <c r="B1" s="83"/>
      <c r="C1" s="83"/>
      <c r="D1" s="83"/>
      <c r="E1" s="83"/>
      <c r="F1" s="83"/>
    </row>
    <row r="2" spans="1:6">
      <c r="A2" s="84" t="s">
        <v>50</v>
      </c>
      <c r="B2" s="78"/>
      <c r="C2" s="84" t="s">
        <v>49</v>
      </c>
      <c r="D2" s="85"/>
      <c r="E2" s="87" t="s">
        <v>51</v>
      </c>
      <c r="F2" s="85"/>
    </row>
    <row r="3" spans="1:6">
      <c r="A3" s="84"/>
      <c r="B3" s="78"/>
      <c r="C3" s="84"/>
      <c r="D3" s="86"/>
      <c r="E3" s="88"/>
      <c r="F3" s="86"/>
    </row>
    <row r="4" spans="1:6" ht="232.5" customHeight="1">
      <c r="A4" s="30" t="s">
        <v>52</v>
      </c>
      <c r="B4" s="79"/>
      <c r="C4" s="78"/>
      <c r="D4" s="78"/>
      <c r="E4" s="78"/>
      <c r="F4" s="78"/>
    </row>
    <row r="5" spans="1:6" ht="31.5" customHeight="1">
      <c r="A5" s="30" t="s">
        <v>53</v>
      </c>
      <c r="B5" s="78"/>
      <c r="C5" s="78"/>
      <c r="D5" s="78"/>
      <c r="E5" s="78"/>
      <c r="F5" s="78"/>
    </row>
    <row r="6" spans="1:6" ht="108" customHeight="1">
      <c r="A6" s="30" t="s">
        <v>2</v>
      </c>
      <c r="B6" s="80"/>
      <c r="C6" s="81"/>
      <c r="D6" s="81"/>
      <c r="E6" s="81"/>
      <c r="F6" s="81"/>
    </row>
    <row r="16" spans="1:6">
      <c r="A16" s="77"/>
      <c r="B16" s="77"/>
      <c r="C16" s="77"/>
      <c r="D16" s="77"/>
      <c r="E16" s="77"/>
      <c r="F16" s="77"/>
    </row>
  </sheetData>
  <mergeCells count="11">
    <mergeCell ref="A16:F16"/>
    <mergeCell ref="B5:F5"/>
    <mergeCell ref="B4:F4"/>
    <mergeCell ref="B6:F6"/>
    <mergeCell ref="A1:F1"/>
    <mergeCell ref="A2:A3"/>
    <mergeCell ref="B2:B3"/>
    <mergeCell ref="C2:C3"/>
    <mergeCell ref="D2:D3"/>
    <mergeCell ref="E2:E3"/>
    <mergeCell ref="F2:F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AAS Model Checklist Information</vt:lpstr>
      <vt:lpstr>AAS Model Checklist</vt:lpstr>
      <vt:lpstr>AAS Model Checklist Result</vt:lpstr>
      <vt:lpstr>Additional Considerations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익제 김</cp:lastModifiedBy>
  <cp:lastPrinted>2025-02-14T07:07:43Z</cp:lastPrinted>
  <dcterms:created xsi:type="dcterms:W3CDTF">2025-02-14T06:46:23Z</dcterms:created>
  <dcterms:modified xsi:type="dcterms:W3CDTF">2026-09-28T02:10:44Z</dcterms:modified>
</cp:coreProperties>
</file>