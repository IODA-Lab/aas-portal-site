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동언\Desktop\AASX 파일\AAS_제출준비(수정본)_20261027\자동경면사상가공기\"/>
    </mc:Choice>
  </mc:AlternateContent>
  <xr:revisionPtr revIDLastSave="0" documentId="13_ncr:1_{CFF27D05-4A8A-49D9-B627-89A8B8AC159F}" xr6:coauthVersionLast="47" xr6:coauthVersionMax="47" xr10:uidLastSave="{00000000-0000-0000-0000-000000000000}"/>
  <bookViews>
    <workbookView xWindow="45" yWindow="1500" windowWidth="21600" windowHeight="11835" firstSheet="1" activeTab="3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H6" i="3" l="1"/>
  <c r="G10" i="3"/>
  <c r="G4" i="3"/>
  <c r="G5" i="3" s="1"/>
  <c r="C23" i="2"/>
  <c r="H9" i="3" l="1"/>
  <c r="H8" i="3"/>
  <c r="H7" i="3"/>
  <c r="H10" i="3" s="1"/>
  <c r="H4" i="3"/>
  <c r="H3" i="3"/>
  <c r="H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9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IDTA 02032-1-0 p.15: https://industrialdigitaltwin.org/wp-content/uploads/2025/05/IDTA-02032-1-0_Submodel-Inspection-Documents-of-Steel-Products.pdf#page=15
ECLASS 6.x→7.x 매핑 p.4 (BAA019→BAF016): https://eclass.eu/fileadmin/Redaktion/pdf-Dateien/Wiki/Deliverables/eClass_Mapping_6x_to_7x_Read_Me_EN.pdf#page=4
IDTA·ECLASS 공동 가이드 p.36: https://eclass.eu/fileadmin/Redaktion/pdf-Dateien/Wiki/2024-10_IDTA_ECLASS_Semantic_Transport_ECLASS_in_AAS_1.0.pdf#page=36
근거: C:/Users/gb011/Downloads/TIPA_AAS/eClass mapping table/ECLASS_16.0.zip
1730160000enUSbasicCSV01/ECLASS16_0_PR_en.csv: BAB146#011, BAF016#009, BAA020#013
ECLASS16_0_UN_en.csv: 0173-1#05-AAA480#005 millimetre (mm)
ECLASS16_0_CC_en.csv: 36600716 / 0173-1#01-AKJ882#020
공식 검색: https://eclass.eu/en/eclass-standard/search-content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<sst xmlns="http://schemas.openxmlformats.org/spreadsheetml/2006/main" count="159" uniqueCount="126">
  <si>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</si>
  <si>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</si>
  <si>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</si>
  <si>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</si>
  <si>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</si>
  <si>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</si>
  <si>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</si>
  <si>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</si>
  <si>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</si>
  <si>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</si>
  <si>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</si>
  <si>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</si>
  <si>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맑은 고딕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</si>
  <si>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</si>
  <si>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맑은 고딕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</si>
  <si>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</si>
  <si>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</si>
  <si>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맑은 고딕"/>
        <family val="3"/>
        <scheme val="minor"/>
      </rPr>
      <t>제외)를</t>
    </r>
    <r>
      <rPr>
        <sz val="10"/>
        <color rgb="FF000000"/>
        <rFont val="맑은 고딕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</si>
  <si>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</si>
  <si>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</si>
  <si>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</si>
  <si>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</si>
  <si>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</si>
  <si>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</si>
  <si>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AAS Model 정량적 검토 Checklist</t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</si>
  <si>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</si>
  <si>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</si>
  <si>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</si>
  <si>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</si>
  <si>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</si>
  <si>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</si>
  <si>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</si>
  <si>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</si>
  <si>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</si>
  <si>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대표 썸네일 /thumbnail.png를 개발계획서 원본 참고 사진으로 복원. defaultThumbnail과 패키지 관계 경로 일치. ProductImages[0]의 참고 사진과 바이트 동일. 개념도 추가 항목 제거.</t>
  </si>
  <si>
    <t>공통</t>
  </si>
  <si>
    <t>idShort가 설정되어 있는지 확인한다.</t>
  </si>
  <si>
    <t>AAS 1개·SM 7개·SME 2,341개 확인. SML 직속 항목을 제외한 idShort 누락 없음. 목록 위치 [n]은 idShort가 아님.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</si>
  <si>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</si>
  <si>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맑은 고딕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</si>
  <si>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형제 idShort 중복 없음. 장비 특화 이름의 형식 확인. 표준 Process__00__ 및 목록의 무명 항목은 원본 구조에 따라 유지.</t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</si>
  <si>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</si>
  <si>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</si>
  <si>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AAS ID: https://www.smart-factory.kr/ids/aas/MirrorFinishingMachineAAS/0/3. administration version=0, revision=3과 일치.</t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</si>
  <si>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</si>
  <si>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scheme val="minor"/>
      </rPr>
      <t xml:space="preserve">
① </t>
    </r>
    <r>
      <rPr>
        <b/>
        <sz val="10"/>
        <color theme="1"/>
        <rFont val="맑은 고딕"/>
        <family val="3"/>
        <scheme val="minor"/>
      </rPr>
      <t>Digital Nameplate</t>
    </r>
    <r>
      <rPr>
        <sz val="10"/>
        <color theme="1"/>
        <rFont val="맑은 고딕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맑은 고딕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</si>
  <si>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필수 DigitalNameplate·HandoverDocumentation·TechnicalData·OperationalData 포함. TimeSeries·ProcessParameters·PredictiveMaintenance까지 총 7종.</t>
  </si>
  <si>
    <t>옵션</t>
  </si>
  <si>
    <t>globalAssetId 여부</t>
  </si>
  <si>
    <t>globalAssetId가 설정되어 있는지 확인한다.</t>
  </si>
  <si>
    <t>globalAssetId에 MirrorFinishingMachine/MF500 포함. 로컬 비교 AASX 10개에서 동일 globalAssetId 없음. 전 세계 중복을 전수 조회한 결과는 아님.</t>
  </si>
  <si>
    <t>Type종류</t>
  </si>
  <si>
    <t>'kind'가 'Type'으로 지정되어 있는지 확인한다.</t>
  </si>
  <si>
    <t>AssetInformation/assetKind=Type. 각 Submodel의 kind=Template과 구분. 실제 장비 적용 시 Instance 전환 설명은 가이던스 III.2 및 IV.3 참조.</t>
  </si>
  <si>
    <t>Submodel</t>
  </si>
  <si>
    <t>최신 Version 여부</t>
  </si>
  <si>
    <t>IDTA 서브모델 템플릿을 활용하는 경우, 최신 버전의 템플릿을 사용하고 있는지 확인한다.</t>
  </si>
  <si>
    <t>공식 저장소 대조(2026-10-20): DN 3.0.2, HD 2.0.2, TD 2.0.2, TS 1.1.2, PP Type 1.0, PdM 1.0. 사용 중인 DN/HD/TD/TS의 CD는 최신 배포본과 일치. 원본 출처는 추가 검토사항 참조.</t>
  </si>
  <si>
    <t>7개 SM ID 모두 MirrorFinishingMachineAAS와 SM명 포함. 말미 version/revision과 각각의 administration 일치.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</si>
  <si>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</si>
  <si>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</si>
  <si>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</si>
  <si>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</si>
  <si>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DigitalNameplate, HandoverDocumentation, TechnicalData, OperationalData, TimeSeries, ProcessParameters, PredictiveMaintenance 모두 kind=Template.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</si>
  <si>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</si>
  <si>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</si>
  <si>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>TD는 표준 TechnicalPropertyAreas 아래 장비 계통→기능별 사양의 2단계로 분류. OD는 계통→감시 기능, PP는 제품·설정·자원, PdM은 수명·조건·모델·경보 목적에 따라 구성. 단순 개수 증가는 요구하지 않음.</t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</si>
  <si>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</si>
  <si>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</si>
  <si>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맑은 고딕"/>
        <family val="3"/>
        <scheme val="minor"/>
      </rPr>
      <t>엘리먼트가 사용되지 않았는지 확인한다.</t>
    </r>
  </si>
  <si>
    <t>Operation, BasicEventElement, Capability 미사용. Property·MLP·SMC·SML·Range·Entity·File로 구성.</t>
  </si>
  <si>
    <t>Concept Description 매핑여부</t>
  </si>
  <si>
    <t xml:space="preserve">Submodel Elements가 Concept Description과 올바르게 매핑되어 있는지 확인한다 </t>
  </si>
  <si>
    <t>SME 2,341개와 CD 332개 대조. 기존 원본 CD 미연결 10곳/4종은 유지. 추가 제품 분류의 CD 8개는 IDTA TD 2.0.2 공식 원본 적용. 치수 3개는 ECLASS 16.0 원본 사전으로 재정의.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</si>
  <si>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</si>
  <si>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</si>
  <si>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</si>
  <si>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DN·HD 제외 Property 2,003개에 예시값 존재. TimeSeries 1,785개는 60건×29개 값과 공통 메타데이터 45개로 유지. 제품 분류 Property 5개 추가. 실측이 아닌 참조모델 예시.</t>
  </si>
  <si>
    <t>Concept Description과 
data type 매칭여부</t>
  </si>
  <si>
    <t>valueType이 설정되어야 하며, 
연결된 Concept Description의 dataType과 매칭되는 데이터 타입으로 설정되어야 한다</t>
  </si>
  <si>
    <t>치수 xs:double / REAL_MEASURE / mm 일치. PdM BoundaryValueRange 7개를 Property, DriftInfoAIModel 4개를 Range로 배포 JSON 형식에 맞춤. 원본 CD의 수치/STRING 예외는 유지.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</si>
  <si>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</si>
  <si>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</si>
  <si>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ECLASS 16.0 원본 PR·UN 사전 확인 완료. 전장 BAB146#011, 폭 BAF016#009, 높이 BAA020#013의 공식 정의·REAL_MEASURE·mm 단위 일치. unitId=0173-1#05-AAA480#005. 식별자 형식 통일 목적의 과제 IRI 변경은 하지 않음.</t>
  </si>
  <si>
    <t>definition 여부</t>
  </si>
  <si>
    <t>해당 항목에 대한 definition이 작성되어 있는지 확인한다.
* description이 작성되어 있는 경우도 포함</t>
  </si>
  <si>
    <t>CD 332개 모두 definition 또는 description 존재. 치수 3개는 공식 영문 정의·한국어 설명용 번역·단위·출처를 기록. 제품 분류 CD 8개는 IDTA 공식 원본 그대로 적용.</t>
  </si>
  <si>
    <t>dataType 설정여부</t>
  </si>
  <si>
    <t>Concept Description의 dataType이 설정되어 있는지 확인한다
* eCl@ss/CDD에서 dataType이 정의되어 있지 않은 경우는 제외</t>
  </si>
  <si>
    <t>자체 수치·문자 속성 CD의 dataType 설정 확인. SMC/SML 구조 개념과 공식 템플릿에서 미지정된 항목은 예외로 구분. 원본의 누락을 임의 생성하지 않음.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</si>
  <si>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</si>
  <si>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</si>
  <si>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</si>
  <si>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</si>
  <si>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</si>
  <si>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</si>
  <si>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</si>
  <si>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</si>
  <si>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</si>
  <si>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체크사항 충족 항목</t>
  </si>
  <si>
    <t>불충족 또는 확인 보류 항목</t>
  </si>
  <si>
    <t>-</t>
  </si>
  <si>
    <t>총 체크사항</t>
  </si>
  <si>
    <t>'중요도'기준 통계</t>
  </si>
  <si>
    <t>필수 중 충족</t>
  </si>
  <si>
    <t>필수 체크사항 충족 항목</t>
  </si>
  <si>
    <t>필수 중 미확인</t>
  </si>
  <si>
    <t>필수 항목 중 확인 보류 포함</t>
  </si>
  <si>
    <t>옵션 중 충족</t>
  </si>
  <si>
    <t>옵션 체크사항 충족 항목</t>
  </si>
  <si>
    <t>옵션 중 미확인</t>
  </si>
  <si>
    <t>옵션 체크사항 불충족 항목</t>
  </si>
  <si>
    <t>※ "AAS Model Checklist" sheet에서 각 체크사항에 대해 충족/불충족 항목들에 대한 개수를 정리한 시트입니다.</t>
  </si>
  <si>
    <t>추가 검토사항</t>
  </si>
  <si>
    <t>1. 검토자</t>
  </si>
  <si>
    <t>2. 소속</t>
  </si>
  <si>
    <t>3. 검토일</t>
  </si>
  <si>
    <t>4. 검토사항</t>
  </si>
  <si>
    <t>5. 기타사항</t>
  </si>
  <si>
    <t>표준 6종의 semanticId 값은 공식 템플릿과 일치. 자체 정의 OperationalData는 장비명·SM명·버전이 포함된 과제 IRI 사용. 내부 표준 IRDI 및 IDTA semanticId는 원본 유지.</t>
  </si>
  <si>
    <t>2026-10-27</t>
  </si>
  <si>
    <t>첨부 「자동경면사상가공기_밸리데이터결과.html」 참조. CD 검증 제외 결과: 65 Passed / 0 Failed / 0 Warning.</t>
  </si>
  <si>
    <t>검사 대상: MirrorFinishingMachine_v0.0.1.aasx
실제 검사 실행일: 2026-10-27
사용 검사 도구: AAS Validator / 당시 사용 버전: v2.0.5</t>
  </si>
  <si>
    <t>최종 제출 AASX SHA-256: 9b328bd381cf25d7b9a3097e65f627b1a79a69c9577c206c0c63ac94274529ea
표준 SM 6종 자동검사 제외 및 공식 SMT 구조 대조 결과는 정성 체크리스트 13번 근거란 참조.</t>
  </si>
  <si>
    <t>충족</t>
    <phoneticPr fontId="28" type="noConversion"/>
  </si>
  <si>
    <t>미확인/미충족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</si>
</sst>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scheme val="minor"/>
    </font>
    <font>
      <sz val="10"/>
      <color theme="1"/>
      <name val="맑은 고딕"/>
      <family val="3"/>
      <scheme val="minor"/>
    </font>
    <font>
      <b/>
      <sz val="10"/>
      <color theme="1"/>
      <name val="맑은 고딕"/>
      <family val="3"/>
      <scheme val="minor"/>
    </font>
    <font>
      <sz val="10"/>
      <color rgb="FF000000"/>
      <name val="맑은 고딕"/>
      <family val="3"/>
      <scheme val="minor"/>
    </font>
    <font>
      <sz val="10"/>
      <color theme="1"/>
      <name val="Arial Unicode MS"/>
      <family val="3"/>
    </font>
    <font>
      <sz val="10"/>
      <color theme="1"/>
      <name val="맑은 고딕"/>
      <family val="2"/>
      <scheme val="minor"/>
    </font>
    <font>
      <b/>
      <sz val="14"/>
      <color theme="0"/>
      <name val="맑은 고딕"/>
      <family val="3"/>
      <scheme val="minor"/>
    </font>
    <font>
      <sz val="10"/>
      <color theme="1"/>
      <name val="Wingdings"/>
      <family val="2"/>
    </font>
    <font>
      <sz val="10"/>
      <color theme="1"/>
      <name val="맑은 고딕"/>
      <family val="3"/>
    </font>
    <font>
      <sz val="11"/>
      <color rgb="FF00B050"/>
      <name val="맑은 고딕"/>
      <family val="3"/>
      <scheme val="minor"/>
    </font>
    <font>
      <sz val="10"/>
      <color rgb="FF00B050"/>
      <name val="맑은 고딕"/>
      <family val="3"/>
      <scheme val="minor"/>
    </font>
    <font>
      <sz val="11"/>
      <color rgb="FF00B050"/>
      <name val="맑은 고딕"/>
      <family val="3"/>
      <scheme val="minor"/>
    </font>
    <font>
      <sz val="11"/>
      <name val="맑은 고딕"/>
      <family val="3"/>
      <scheme val="minor"/>
    </font>
    <font>
      <b/>
      <sz val="11"/>
      <color theme="1"/>
      <name val="맑은 고딕"/>
      <family val="3"/>
      <scheme val="minor"/>
    </font>
    <font>
      <b/>
      <sz val="16"/>
      <color theme="0"/>
      <name val="맑은 고딕"/>
      <family val="3"/>
      <scheme val="minor"/>
    </font>
    <font>
      <sz val="10"/>
      <color theme="1"/>
      <name val="맑은 고딕"/>
      <family val="3"/>
      <scheme val="major"/>
    </font>
    <font>
      <u/>
      <sz val="10"/>
      <color theme="1"/>
      <name val="맑은 고딕"/>
      <family val="3"/>
    </font>
    <font>
      <u/>
      <sz val="10"/>
      <color theme="1"/>
      <name val="맑은 고딕"/>
      <family val="3"/>
      <scheme val="minor"/>
    </font>
    <font>
      <b/>
      <sz val="10"/>
      <color theme="1"/>
      <name val="Arial Unicode MS"/>
      <family val="3"/>
    </font>
    <font>
      <b/>
      <sz val="10"/>
      <color rgb="FF0070C0"/>
      <name val="맑은 고딕"/>
      <family val="3"/>
      <scheme val="minor"/>
    </font>
    <font>
      <sz val="10"/>
      <color theme="1"/>
      <name val="맑은 고딕"/>
      <family val="2"/>
    </font>
    <font>
      <b/>
      <sz val="10"/>
      <color rgb="FF0070C0"/>
      <name val="맑은 고딕"/>
      <family val="2"/>
      <scheme val="minor"/>
    </font>
    <font>
      <b/>
      <sz val="10"/>
      <color theme="1"/>
      <name val="맑은 고딕"/>
      <family val="3"/>
    </font>
    <font>
      <b/>
      <sz val="10"/>
      <color rgb="FFFF0000"/>
      <name val="맑은 고딕"/>
      <family val="3"/>
    </font>
    <font>
      <b/>
      <sz val="10"/>
      <color rgb="FFFF0000"/>
      <name val="맑은 고딕"/>
      <family val="2"/>
    </font>
    <font>
      <sz val="10"/>
      <color rgb="FFFF0000"/>
      <name val="맑은 고딕"/>
      <family val="3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2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5343525</xdr:colOff>
      <xdr:row>12</xdr:row>
      <xdr:rowOff>295275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5218037B-8511-66E0-CA64-67E84A0A6B0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5343525</xdr:colOff>
      <xdr:row>12</xdr:row>
      <xdr:rowOff>295275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D225B5E-13EC-0856-E831-5F34E81134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5343525</xdr:colOff>
      <xdr:row>12</xdr:row>
      <xdr:rowOff>295275</xdr:rowOff>
    </xdr:to>
    <xdr:sp macro="" textlink="">
      <xdr:nvSpPr>
        <xdr:cNvPr id="3" name="Text Box 2" hidden="1">
          <a:extLst>
            <a:ext uri="{FF2B5EF4-FFF2-40B4-BE49-F238E27FC236}">
              <a16:creationId xmlns:a16="http://schemas.microsoft.com/office/drawing/2014/main" id="{CCBE4428-9B86-0A67-82D1-F9F61BF132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A10" zoomScale="85" zoomScaleNormal="85" workbookViewId="0">
      <selection sqref="A1:D1"/>
    </sheetView>
  </sheetViews>
  <sheetFormatPr defaultColWidth="8.875" defaultRowHeight="16.5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75" customWidth="1"/>
    <col min="6" max="6" width="8.875" style="17" customWidth="1"/>
  </cols>
  <sheetData>
    <row r="1" spans="1:6" ht="20.25">
      <c r="A1" s="41" t="s">
        <v>0</v>
      </c>
      <c r="B1" s="42"/>
      <c r="C1" s="42"/>
      <c r="D1" s="43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44.25" customHeight="1">
      <c r="A3" s="48" t="s">
        <v>5</v>
      </c>
      <c r="B3" s="46" t="s">
        <v>6</v>
      </c>
      <c r="C3" s="47"/>
      <c r="D3" s="37" t="e" vm="1">
        <v>#VALUE!</v>
      </c>
    </row>
    <row r="4" spans="1:6" ht="51" customHeight="1">
      <c r="A4" s="49"/>
      <c r="B4" s="4" t="s">
        <v>7</v>
      </c>
      <c r="C4" s="5" t="s">
        <v>8</v>
      </c>
      <c r="D4" s="8"/>
    </row>
    <row r="5" spans="1:6" ht="78" customHeight="1">
      <c r="A5" s="49"/>
      <c r="B5" s="9" t="s">
        <v>9</v>
      </c>
      <c r="C5" s="5" t="s">
        <v>10</v>
      </c>
      <c r="D5" s="8"/>
    </row>
    <row r="6" spans="1:6" ht="283.5">
      <c r="A6" s="49"/>
      <c r="B6" s="4" t="s">
        <v>11</v>
      </c>
      <c r="C6" s="5" t="s">
        <v>12</v>
      </c>
      <c r="D6" s="4"/>
      <c r="F6" s="18"/>
    </row>
    <row r="7" spans="1:6" ht="182.45" customHeight="1">
      <c r="A7" s="50"/>
      <c r="B7" s="8" t="s">
        <v>13</v>
      </c>
      <c r="C7" s="36" t="s">
        <v>14</v>
      </c>
      <c r="D7" s="10" t="e" vm="1">
        <v>#VALUE!</v>
      </c>
      <c r="F7" s="18"/>
    </row>
    <row r="8" spans="1:6" ht="94.5">
      <c r="A8" s="44" t="s">
        <v>15</v>
      </c>
      <c r="B8" s="4" t="s">
        <v>16</v>
      </c>
      <c r="C8" s="6" t="s">
        <v>17</v>
      </c>
      <c r="D8" s="4"/>
    </row>
    <row r="9" spans="1:6" ht="61.5" customHeight="1">
      <c r="A9" s="45"/>
      <c r="B9" s="4" t="s">
        <v>18</v>
      </c>
      <c r="C9" s="5" t="s">
        <v>19</v>
      </c>
      <c r="D9" s="4"/>
    </row>
    <row r="10" spans="1:6" ht="94.5">
      <c r="A10" s="45"/>
      <c r="B10" s="4" t="s">
        <v>20</v>
      </c>
      <c r="C10" s="38" t="s">
        <v>21</v>
      </c>
      <c r="D10" s="4"/>
    </row>
    <row r="11" spans="1:6" ht="243">
      <c r="A11" s="45"/>
      <c r="B11" s="4" t="s">
        <v>22</v>
      </c>
      <c r="C11" s="32" t="s">
        <v>23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topLeftCell="A20" zoomScale="85" zoomScaleNormal="85" workbookViewId="0">
      <selection sqref="A1:G1"/>
    </sheetView>
  </sheetViews>
  <sheetFormatPr defaultColWidth="8.875" defaultRowHeight="16.5"/>
  <cols>
    <col min="1" max="1" width="17.5" style="12" customWidth="1"/>
    <col min="2" max="2" width="4.5" style="12" customWidth="1"/>
    <col min="3" max="3" width="6.375" style="12" customWidth="1"/>
    <col min="4" max="4" width="26.5" style="12" customWidth="1"/>
    <col min="5" max="5" width="71.375" style="12" customWidth="1"/>
    <col min="6" max="6" width="10" style="12" customWidth="1"/>
    <col min="7" max="7" width="75.5" style="27" customWidth="1"/>
    <col min="8" max="8" width="24" customWidth="1"/>
    <col min="9" max="9" width="107.375" style="19" customWidth="1"/>
    <col min="10" max="10" width="13" style="20" customWidth="1"/>
    <col min="11" max="11" width="39.5" customWidth="1"/>
  </cols>
  <sheetData>
    <row r="1" spans="1:11" ht="20.25">
      <c r="A1" s="41" t="s">
        <v>24</v>
      </c>
      <c r="B1" s="42"/>
      <c r="C1" s="42"/>
      <c r="D1" s="42"/>
      <c r="E1" s="42"/>
      <c r="F1" s="42"/>
      <c r="G1" s="43"/>
      <c r="I1" s="25"/>
      <c r="K1" s="20"/>
    </row>
    <row r="2" spans="1:11">
      <c r="A2" s="1" t="s">
        <v>1</v>
      </c>
      <c r="B2" s="1" t="s">
        <v>25</v>
      </c>
      <c r="C2" s="1" t="s">
        <v>26</v>
      </c>
      <c r="D2" s="1" t="s">
        <v>27</v>
      </c>
      <c r="E2" s="2" t="s">
        <v>3</v>
      </c>
      <c r="F2" s="2" t="s">
        <v>28</v>
      </c>
      <c r="G2" s="2" t="s">
        <v>29</v>
      </c>
      <c r="K2" s="21"/>
    </row>
    <row r="3" spans="1:11" ht="80.099999999999994" customHeight="1">
      <c r="A3" s="3" t="s">
        <v>30</v>
      </c>
      <c r="B3" s="4">
        <v>1</v>
      </c>
      <c r="C3" s="4" t="s">
        <v>31</v>
      </c>
      <c r="D3" s="4" t="s">
        <v>32</v>
      </c>
      <c r="E3" s="40" t="s">
        <v>33</v>
      </c>
      <c r="F3" s="15" t="b">
        <v>1</v>
      </c>
      <c r="G3" s="32" t="s">
        <v>34</v>
      </c>
      <c r="K3" s="21"/>
    </row>
    <row r="4" spans="1:11" ht="60" customHeight="1">
      <c r="A4" s="48" t="s">
        <v>35</v>
      </c>
      <c r="B4" s="8">
        <v>2</v>
      </c>
      <c r="C4" s="8" t="s">
        <v>31</v>
      </c>
      <c r="D4" s="8" t="s">
        <v>16</v>
      </c>
      <c r="E4" s="39" t="s">
        <v>36</v>
      </c>
      <c r="F4" s="15" t="b">
        <v>1</v>
      </c>
      <c r="G4" s="32" t="s">
        <v>37</v>
      </c>
      <c r="K4" s="21"/>
    </row>
    <row r="5" spans="1:11" ht="80.099999999999994" customHeight="1">
      <c r="A5" s="50"/>
      <c r="B5" s="8">
        <v>3</v>
      </c>
      <c r="C5" s="8" t="s">
        <v>31</v>
      </c>
      <c r="D5" s="8" t="s">
        <v>38</v>
      </c>
      <c r="E5" s="39" t="s">
        <v>39</v>
      </c>
      <c r="F5" s="15" t="b">
        <v>1</v>
      </c>
      <c r="G5" s="32" t="s">
        <v>40</v>
      </c>
      <c r="K5" s="21"/>
    </row>
    <row r="6" spans="1:11" ht="63.95" customHeight="1">
      <c r="A6" s="48" t="s">
        <v>41</v>
      </c>
      <c r="B6" s="4">
        <v>4</v>
      </c>
      <c r="C6" s="4" t="s">
        <v>31</v>
      </c>
      <c r="D6" s="4" t="s">
        <v>18</v>
      </c>
      <c r="E6" s="5" t="s">
        <v>42</v>
      </c>
      <c r="F6" s="15" t="b">
        <v>1</v>
      </c>
      <c r="G6" s="5" t="s">
        <v>43</v>
      </c>
      <c r="K6" s="21"/>
    </row>
    <row r="7" spans="1:11" ht="63.95" customHeight="1">
      <c r="A7" s="49"/>
      <c r="B7" s="4">
        <v>5</v>
      </c>
      <c r="C7" s="4" t="s">
        <v>31</v>
      </c>
      <c r="D7" s="4" t="s">
        <v>44</v>
      </c>
      <c r="E7" s="5" t="s">
        <v>45</v>
      </c>
      <c r="F7" s="15" t="b">
        <v>1</v>
      </c>
      <c r="G7" s="6" t="s">
        <v>46</v>
      </c>
      <c r="K7" s="21"/>
    </row>
    <row r="8" spans="1:11" ht="60" customHeight="1">
      <c r="A8" s="49"/>
      <c r="B8" s="4">
        <v>6</v>
      </c>
      <c r="C8" s="4" t="s">
        <v>47</v>
      </c>
      <c r="D8" s="4" t="s">
        <v>48</v>
      </c>
      <c r="E8" s="5" t="s">
        <v>49</v>
      </c>
      <c r="F8" s="15" t="b">
        <v>1</v>
      </c>
      <c r="G8" s="6" t="s">
        <v>50</v>
      </c>
      <c r="K8" s="21"/>
    </row>
    <row r="9" spans="1:11" ht="60" customHeight="1">
      <c r="A9" s="50"/>
      <c r="B9" s="4">
        <v>7</v>
      </c>
      <c r="C9" s="4" t="s">
        <v>31</v>
      </c>
      <c r="D9" s="4" t="s">
        <v>51</v>
      </c>
      <c r="E9" s="5" t="s">
        <v>52</v>
      </c>
      <c r="F9" s="15" t="b">
        <v>1</v>
      </c>
      <c r="G9" s="6" t="s">
        <v>53</v>
      </c>
      <c r="K9" s="21"/>
    </row>
    <row r="10" spans="1:11" ht="99.95" customHeight="1">
      <c r="A10" s="48" t="s">
        <v>54</v>
      </c>
      <c r="B10" s="8">
        <v>8</v>
      </c>
      <c r="C10" s="8" t="s">
        <v>31</v>
      </c>
      <c r="D10" s="8" t="s">
        <v>55</v>
      </c>
      <c r="E10" s="39" t="s">
        <v>56</v>
      </c>
      <c r="F10" s="15" t="b">
        <v>1</v>
      </c>
      <c r="G10" s="6" t="s">
        <v>57</v>
      </c>
      <c r="K10" s="21"/>
    </row>
    <row r="11" spans="1:11" ht="63.95" customHeight="1">
      <c r="A11" s="49"/>
      <c r="B11" s="4">
        <v>9</v>
      </c>
      <c r="C11" s="4" t="s">
        <v>31</v>
      </c>
      <c r="D11" s="4" t="s">
        <v>18</v>
      </c>
      <c r="E11" s="5" t="s">
        <v>42</v>
      </c>
      <c r="F11" s="15" t="b">
        <v>1</v>
      </c>
      <c r="G11" s="6" t="s">
        <v>58</v>
      </c>
      <c r="K11" s="23"/>
    </row>
    <row r="12" spans="1:11" ht="60" customHeight="1">
      <c r="A12" s="49"/>
      <c r="B12" s="4">
        <v>10</v>
      </c>
      <c r="C12" s="4" t="s">
        <v>31</v>
      </c>
      <c r="D12" s="4" t="s">
        <v>59</v>
      </c>
      <c r="E12" s="5" t="s">
        <v>60</v>
      </c>
      <c r="F12" s="15" t="b">
        <v>1</v>
      </c>
      <c r="G12" s="6" t="s">
        <v>119</v>
      </c>
      <c r="J12" s="24"/>
      <c r="K12" s="21"/>
    </row>
    <row r="13" spans="1:11" ht="60" customHeight="1">
      <c r="A13" s="49"/>
      <c r="B13" s="4">
        <v>11</v>
      </c>
      <c r="C13" s="4" t="s">
        <v>31</v>
      </c>
      <c r="D13" s="4" t="s">
        <v>61</v>
      </c>
      <c r="E13" s="5" t="s">
        <v>62</v>
      </c>
      <c r="F13" s="15" t="b">
        <v>1</v>
      </c>
      <c r="G13" s="5" t="s">
        <v>63</v>
      </c>
      <c r="K13" s="21"/>
    </row>
    <row r="14" spans="1:11" ht="129.94999999999999" customHeight="1">
      <c r="A14" s="50"/>
      <c r="B14" s="8">
        <v>12</v>
      </c>
      <c r="C14" s="8" t="s">
        <v>47</v>
      </c>
      <c r="D14" s="8" t="s">
        <v>64</v>
      </c>
      <c r="E14" s="39" t="s">
        <v>65</v>
      </c>
      <c r="F14" s="15" t="b">
        <v>1</v>
      </c>
      <c r="G14" s="5" t="s">
        <v>66</v>
      </c>
      <c r="K14" s="21"/>
    </row>
    <row r="15" spans="1:11" ht="60" customHeight="1">
      <c r="A15" s="57" t="s">
        <v>67</v>
      </c>
      <c r="B15" s="8">
        <v>13</v>
      </c>
      <c r="C15" s="8" t="s">
        <v>47</v>
      </c>
      <c r="D15" s="37" t="s">
        <v>68</v>
      </c>
      <c r="E15" s="39" t="s">
        <v>69</v>
      </c>
      <c r="F15" s="15" t="b">
        <v>1</v>
      </c>
      <c r="G15" s="5" t="s">
        <v>70</v>
      </c>
      <c r="K15" s="21"/>
    </row>
    <row r="16" spans="1:11" ht="99.95" customHeight="1">
      <c r="A16" s="58"/>
      <c r="B16" s="4">
        <v>14</v>
      </c>
      <c r="C16" s="4" t="s">
        <v>31</v>
      </c>
      <c r="D16" s="4" t="s">
        <v>71</v>
      </c>
      <c r="E16" s="5" t="s">
        <v>72</v>
      </c>
      <c r="F16" s="15" t="b">
        <v>1</v>
      </c>
      <c r="G16" s="5" t="s">
        <v>73</v>
      </c>
      <c r="K16" s="21"/>
    </row>
    <row r="17" spans="1:11" ht="60" customHeight="1">
      <c r="A17" s="57" t="s">
        <v>74</v>
      </c>
      <c r="B17" s="8">
        <v>15</v>
      </c>
      <c r="C17" s="8" t="s">
        <v>31</v>
      </c>
      <c r="D17" s="8" t="s">
        <v>75</v>
      </c>
      <c r="E17" s="39" t="s">
        <v>76</v>
      </c>
      <c r="F17" s="15" t="b">
        <v>1</v>
      </c>
      <c r="G17" s="31" t="s">
        <v>77</v>
      </c>
      <c r="K17" s="21"/>
    </row>
    <row r="18" spans="1:11" ht="84.95" customHeight="1">
      <c r="A18" s="58"/>
      <c r="B18" s="4">
        <v>16</v>
      </c>
      <c r="C18" s="4" t="s">
        <v>31</v>
      </c>
      <c r="D18" s="9" t="s">
        <v>78</v>
      </c>
      <c r="E18" s="5" t="s">
        <v>79</v>
      </c>
      <c r="F18" s="33" t="b">
        <v>1</v>
      </c>
      <c r="G18" s="35" t="s">
        <v>80</v>
      </c>
      <c r="K18" s="21"/>
    </row>
    <row r="19" spans="1:11" ht="114.95" customHeight="1">
      <c r="A19" s="48" t="s">
        <v>81</v>
      </c>
      <c r="B19" s="4">
        <v>17</v>
      </c>
      <c r="C19" s="4" t="s">
        <v>31</v>
      </c>
      <c r="D19" s="4" t="s">
        <v>18</v>
      </c>
      <c r="E19" s="5" t="s">
        <v>82</v>
      </c>
      <c r="F19" s="15" t="b">
        <v>1</v>
      </c>
      <c r="G19" s="5" t="s">
        <v>83</v>
      </c>
      <c r="K19" s="21"/>
    </row>
    <row r="20" spans="1:11" ht="84.95" customHeight="1">
      <c r="A20" s="49"/>
      <c r="B20" s="4">
        <v>18</v>
      </c>
      <c r="C20" s="9" t="s">
        <v>31</v>
      </c>
      <c r="D20" s="4" t="s">
        <v>84</v>
      </c>
      <c r="E20" s="5" t="s">
        <v>85</v>
      </c>
      <c r="F20" s="15" t="b">
        <v>1</v>
      </c>
      <c r="G20" s="5" t="s">
        <v>86</v>
      </c>
      <c r="K20" s="21"/>
    </row>
    <row r="21" spans="1:11" ht="99.95" customHeight="1">
      <c r="A21" s="50"/>
      <c r="B21" s="4">
        <v>19</v>
      </c>
      <c r="C21" s="9" t="s">
        <v>31</v>
      </c>
      <c r="D21" s="4" t="s">
        <v>87</v>
      </c>
      <c r="E21" s="5" t="s">
        <v>88</v>
      </c>
      <c r="F21" s="15" t="b">
        <v>1</v>
      </c>
      <c r="G21" s="5" t="s">
        <v>89</v>
      </c>
      <c r="K21" s="21"/>
    </row>
    <row r="22" spans="1:11" ht="51.95" customHeight="1">
      <c r="A22" s="3" t="s">
        <v>4</v>
      </c>
      <c r="B22" s="54" t="s">
        <v>90</v>
      </c>
      <c r="C22" s="55"/>
      <c r="D22" s="55"/>
      <c r="E22" s="55"/>
      <c r="F22" s="55"/>
      <c r="G22" s="56"/>
      <c r="K22" s="21"/>
    </row>
    <row r="23" spans="1:11">
      <c r="A23" s="3" t="s">
        <v>91</v>
      </c>
      <c r="B23" s="8">
        <v>19</v>
      </c>
      <c r="C23" s="51" t="str">
        <f>'AAS Model Checklist Result'!G3&amp;" / "&amp;B23&amp;" 확인 · 미확인 항목은 비고 참조"</f>
        <v>19 / 19 확인 · 미확인 항목은 비고 참조</v>
      </c>
      <c r="D23" s="52"/>
      <c r="E23" s="52"/>
      <c r="F23" s="52"/>
      <c r="G23" s="53"/>
      <c r="K23" s="21"/>
    </row>
    <row r="24" spans="1:11"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8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E5" sqref="E5"/>
    </sheetView>
  </sheetViews>
  <sheetFormatPr defaultColWidth="8.875" defaultRowHeight="16.5"/>
  <cols>
    <col min="1" max="4" width="9" style="11"/>
    <col min="5" max="6" width="15" style="11" customWidth="1"/>
    <col min="7" max="7" width="17" style="11" customWidth="1"/>
    <col min="8" max="8" width="21.375" style="11" customWidth="1"/>
    <col min="9" max="9" width="28.5" customWidth="1"/>
  </cols>
  <sheetData>
    <row r="1" spans="1:10" ht="20.25">
      <c r="A1" s="60" t="s">
        <v>92</v>
      </c>
      <c r="B1" s="61"/>
      <c r="C1" s="61"/>
      <c r="D1" s="61"/>
      <c r="E1" s="61"/>
      <c r="F1" s="61"/>
      <c r="G1" s="61"/>
      <c r="H1" s="61"/>
      <c r="I1" s="61"/>
      <c r="J1" s="16"/>
    </row>
    <row r="2" spans="1:10">
      <c r="A2" s="62" t="s">
        <v>93</v>
      </c>
      <c r="B2" s="62"/>
      <c r="C2" s="62"/>
      <c r="D2" s="62"/>
      <c r="E2" s="1" t="s">
        <v>94</v>
      </c>
      <c r="F2" s="2" t="s">
        <v>95</v>
      </c>
      <c r="G2" s="1" t="s">
        <v>96</v>
      </c>
      <c r="H2" s="1" t="s">
        <v>97</v>
      </c>
      <c r="I2" s="1" t="s">
        <v>4</v>
      </c>
    </row>
    <row r="3" spans="1:10">
      <c r="A3" s="45" t="s">
        <v>98</v>
      </c>
      <c r="B3" s="45"/>
      <c r="C3" s="45"/>
      <c r="D3" s="45"/>
      <c r="E3" s="76" t="s">
        <v>124</v>
      </c>
      <c r="F3" s="64"/>
      <c r="G3" s="10">
        <f>SUMPRODUCT('AAS Model Checklist'!F3:F21*1)</f>
        <v>19</v>
      </c>
      <c r="H3" s="10">
        <f>ROUND(G3/G5, 3) * 100</f>
        <v>100</v>
      </c>
      <c r="I3" s="29" t="s">
        <v>99</v>
      </c>
    </row>
    <row r="4" spans="1:10">
      <c r="A4" s="45"/>
      <c r="B4" s="45"/>
      <c r="C4" s="45"/>
      <c r="D4" s="45"/>
      <c r="E4" s="76" t="s">
        <v>125</v>
      </c>
      <c r="F4" s="64"/>
      <c r="G4" s="34">
        <f>'AAS Model Checklist'!B23 - G3</f>
        <v>0</v>
      </c>
      <c r="H4" s="10">
        <f>ROUND(G4/G5, 3) * 100</f>
        <v>0</v>
      </c>
      <c r="I4" s="29" t="s">
        <v>100</v>
      </c>
    </row>
    <row r="5" spans="1:10">
      <c r="A5" s="45"/>
      <c r="B5" s="45"/>
      <c r="C5" s="45"/>
      <c r="D5" s="45"/>
      <c r="E5" s="13" t="s">
        <v>91</v>
      </c>
      <c r="F5" s="13" t="s">
        <v>101</v>
      </c>
      <c r="G5" s="13">
        <f>SUM(G3:G4)</f>
        <v>19</v>
      </c>
      <c r="H5" s="13">
        <f>SUM(H3:H4)</f>
        <v>100</v>
      </c>
      <c r="I5" s="30" t="s">
        <v>102</v>
      </c>
    </row>
    <row r="6" spans="1:10">
      <c r="A6" s="45" t="s">
        <v>103</v>
      </c>
      <c r="B6" s="45"/>
      <c r="C6" s="45"/>
      <c r="D6" s="45"/>
      <c r="E6" s="63" t="s">
        <v>31</v>
      </c>
      <c r="F6" s="10" t="s">
        <v>104</v>
      </c>
      <c r="G6" s="10">
        <f>SUMPRODUCT(('AAS Model Checklist'!C3:C21="필수")*('AAS Model Checklist'!F3:F21=TRUE))</f>
        <v>16</v>
      </c>
      <c r="H6" s="10">
        <f>ROUND(G6/G10, 3) * 100</f>
        <v>84.2</v>
      </c>
      <c r="I6" s="29" t="s">
        <v>105</v>
      </c>
    </row>
    <row r="7" spans="1:10">
      <c r="A7" s="45"/>
      <c r="B7" s="45"/>
      <c r="C7" s="45"/>
      <c r="D7" s="45"/>
      <c r="E7" s="63"/>
      <c r="F7" s="10" t="s">
        <v>106</v>
      </c>
      <c r="G7" s="10">
        <f>SUMPRODUCT(('AAS Model Checklist'!C3:C21="필수")*('AAS Model Checklist'!F3:F21=FALSE))</f>
        <v>0</v>
      </c>
      <c r="H7" s="10">
        <f>ROUND(G7/G10, 3) * 100</f>
        <v>0</v>
      </c>
      <c r="I7" s="29" t="s">
        <v>107</v>
      </c>
    </row>
    <row r="8" spans="1:10">
      <c r="A8" s="45"/>
      <c r="B8" s="45"/>
      <c r="C8" s="45"/>
      <c r="D8" s="45"/>
      <c r="E8" s="63" t="s">
        <v>47</v>
      </c>
      <c r="F8" s="10" t="s">
        <v>108</v>
      </c>
      <c r="G8" s="10">
        <f>SUMPRODUCT(('AAS Model Checklist'!C3:C21="옵션")*('AAS Model Checklist'!F3:F21=TRUE))</f>
        <v>3</v>
      </c>
      <c r="H8" s="10">
        <f>ROUND(G8/G10, 3) * 100</f>
        <v>15.8</v>
      </c>
      <c r="I8" s="29" t="s">
        <v>109</v>
      </c>
    </row>
    <row r="9" spans="1:10">
      <c r="A9" s="45"/>
      <c r="B9" s="45"/>
      <c r="C9" s="45"/>
      <c r="D9" s="45"/>
      <c r="E9" s="63"/>
      <c r="F9" s="10" t="s">
        <v>110</v>
      </c>
      <c r="G9" s="10">
        <f>SUMPRODUCT(('AAS Model Checklist'!C3:C21="옵션")*('AAS Model Checklist'!F3:F21=FALSE))</f>
        <v>0</v>
      </c>
      <c r="H9" s="10">
        <f>ROUND(G9/G10, 3) * 100</f>
        <v>0</v>
      </c>
      <c r="I9" s="29" t="s">
        <v>111</v>
      </c>
    </row>
    <row r="10" spans="1:10">
      <c r="A10" s="45"/>
      <c r="B10" s="45"/>
      <c r="C10" s="45"/>
      <c r="D10" s="45"/>
      <c r="E10" s="13" t="s">
        <v>91</v>
      </c>
      <c r="F10" s="14" t="s">
        <v>101</v>
      </c>
      <c r="G10" s="13">
        <f>SUM(G6:G9)</f>
        <v>19</v>
      </c>
      <c r="H10" s="13">
        <f>SUM(H6:H9)</f>
        <v>100</v>
      </c>
      <c r="I10" s="30" t="s">
        <v>102</v>
      </c>
    </row>
    <row r="12" spans="1:10">
      <c r="A12" s="59" t="s">
        <v>112</v>
      </c>
      <c r="B12" s="59"/>
      <c r="C12" s="59"/>
      <c r="D12" s="59"/>
      <c r="E12" s="59"/>
      <c r="F12" s="59"/>
      <c r="G12" s="59"/>
      <c r="H12" s="59"/>
      <c r="I12" s="59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topLeftCell="A5" workbookViewId="0">
      <selection activeCell="B6" sqref="B6:F6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68" t="s">
        <v>113</v>
      </c>
      <c r="B1" s="69"/>
      <c r="C1" s="69"/>
      <c r="D1" s="69"/>
      <c r="E1" s="69"/>
      <c r="F1" s="69"/>
    </row>
    <row r="2" spans="1:6">
      <c r="A2" s="70" t="s">
        <v>114</v>
      </c>
      <c r="B2" s="71"/>
      <c r="C2" s="70" t="s">
        <v>115</v>
      </c>
      <c r="D2" s="72"/>
      <c r="E2" s="74" t="s">
        <v>116</v>
      </c>
      <c r="F2" s="72" t="inlineStr">
        <is>
          <t xml:space="preserve">2026-10-29</t>
        </is>
      </c>
    </row>
    <row r="3" spans="1:6">
      <c r="A3" s="70"/>
      <c r="B3" s="71"/>
      <c r="C3" s="70"/>
      <c r="D3" s="73"/>
      <c r="E3" s="75"/>
      <c r="F3" s="73"/>
    </row>
    <row r="4" spans="1:6" ht="165" customHeight="1">
      <c r="A4" s="26" t="s">
        <v>117</v>
      </c>
      <c r="B4" s="66" t="inlineStr">
        <is>
          <t xml:space="preserve">첨부 「자동경면사상가공기_밸리테이터 결과.html」 참조. CD 테스트 블록 제외 결과: 65 Passed / 0 Failed / 0 Warning.
SME의 CD 매핑·자료형 검사는 로그에 포함.</t>
        </is>
      </c>
      <c r="C4" s="66"/>
      <c r="D4" s="66"/>
      <c r="E4" s="66"/>
      <c r="F4" s="66"/>
    </row>
    <row r="5" spans="1:6" ht="200.1" customHeight="1">
      <c r="A5" s="26" t="s">
        <v>118</v>
      </c>
      <c r="B5" s="66" t="inlineStr">
        <is>
          <t xml:space="preserve">검사 대상: MirrorFinishingMachine_v0.0.1.aasx
실제 검사 실행일: 2026-10-29 (사용자 확인)
사용 검사 도구: AAS Validator v2.0.5 (사용자 확인)</t>
        </is>
      </c>
      <c r="C5" s="66"/>
      <c r="D5" s="66"/>
      <c r="E5" s="66"/>
      <c r="F5" s="66"/>
    </row>
    <row r="6" spans="1:6" ht="200.1" customHeight="1">
      <c r="A6" s="26" t="s">
        <v>4</v>
      </c>
      <c r="B6" s="67" t="inlineStr">
        <is>
          <t xml:space="preserve">최종 제출 AASX SHA-256: 2b25950f8c1cc11673e0e91ad9aa95b15f78febc04a7de3b0c08f20e36c252ed
표준 SM 6종 자동검사 제외 및 기존 공식 SMT 구조 대조 기록은 정성 체크리스트 13번 근거란 참조.</t>
        </is>
      </c>
      <c r="C6" s="67"/>
      <c r="D6" s="67"/>
      <c r="E6" s="67"/>
      <c r="F6" s="67"/>
    </row>
    <row r="16" spans="1:6">
      <c r="A16" s="65"/>
      <c r="B16" s="65"/>
      <c r="C16" s="65"/>
      <c r="D16" s="65"/>
      <c r="E16" s="65"/>
      <c r="F16" s="65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김동언</cp:lastModifiedBy>
  <dcterms:modified xsi:type="dcterms:W3CDTF">2026-10-27T16:26:22Z</dcterms:modified>
</cp:coreProperties>
</file>