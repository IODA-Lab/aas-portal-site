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2026_연구실\2개월차 제출\매니퓰레이터_엣지크로스검토 이후\"/>
    </mc:Choice>
  </mc:AlternateContent>
  <xr:revisionPtr revIDLastSave="0" documentId="13_ncr:1_{A643BB8F-BBC1-4B13-ADC3-6D87D41D9623}" xr6:coauthVersionLast="47" xr6:coauthVersionMax="47" xr10:uidLastSave="{00000000-0000-0000-0000-000000000000}"/>
  <bookViews>
    <workbookView xWindow="-110" yWindow="-110" windowWidth="25820" windowHeight="15500" activeTab="1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<sst xmlns="http://schemas.openxmlformats.org/spreadsheetml/2006/main" count="162" uniqueCount="129">
  <si>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</si>
  <si>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</si>
  <si>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</si>
  <si>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</si>
  <si>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</si>
  <si>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</si>
  <si>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</si>
  <si>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</si>
  <si>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</si>
  <si>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</si>
  <si>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</si>
  <si>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</si>
  <si>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</si>
  <si>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</si>
  <si>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</si>
  <si>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</si>
  <si>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</si>
  <si>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</si>
  <si>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</si>
  <si>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</si>
  <si>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</si>
  <si>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</si>
  <si>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</si>
  <si>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</si>
  <si>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</si>
  <si>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</si>
  <si>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</si>
  <si>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</si>
  <si>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</si>
  <si>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</si>
  <si>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</si>
  <si>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</si>
  <si>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</si>
  <si>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</si>
  <si>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</si>
  <si>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</si>
  <si>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</si>
  <si>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</si>
  <si>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</si>
  <si>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</si>
  <si>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</si>
  <si>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</si>
  <si>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</si>
  <si>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</si>
  <si>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</si>
  <si>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</si>
  <si>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</si>
  <si>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</si>
  <si>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</si>
  <si>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</si>
  <si>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</si>
  <si>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</si>
  <si>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</si>
  <si>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</si>
  <si>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</si>
  <si>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</si>
  <si>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</si>
  <si>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</si>
  <si>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</si>
  <si>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</si>
  <si>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</si>
  <si>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</si>
  <si>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</si>
  <si>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</si>
  <si>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</si>
  <si>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</si>
  <si>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</si>
  <si>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</si>
  <si>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</si>
  <si>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</si>
  <si>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</si>
  <si>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</si>
  <si>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</si>
  <si>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</si>
  <si>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</si>
  <si>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</si>
  <si>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</si>
  <si>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</si>
  <si>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</si>
  <si>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</si>
  <si>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</si>
  <si>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</si>
  <si>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</si>
  <si>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</si>
  <si>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</si>
  <si>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</si>
  <si>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</si>
  <si>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</si>
  <si>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</si>
  <si>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</si>
  <si>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</si>
  <si>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</si>
  <si>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</si>
  <si>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</si>
  <si>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</si>
  <si>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</si>
  <si>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</si>
  <si>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</si>
  <si>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</si>
  <si>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</si>
  <si>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</si>
  <si>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</si>
  <si>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</si>
  <si>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</si>
  <si>
    <t>defaultThumbnail=/aasx/thumbnail.png과 ZIP 내 이미지 경로 일치. 이미지 열람으로 산업용 로봇 형상을 확인함.</t>
  </si>
  <si>
    <t>[표준 원본 예외 적용] AAS, Submodel 및 이름이 필요한 SME의 idShort 확인. SML 직속 익명 요소를 제외함. CD 3개(ABM220, ABK163, ABM221)의 idShort 생략은 TechnicalData 원본과 동일함. 그 외 누락 없음.</t>
  </si>
  <si>
    <t>이름이 있는 SME는 영문자로 시작하고 영문자, 숫자, 밑줄로 구성됨. SML 직속 익명 요소는 예외. 동일 부모 아래 idShort 중복 없음.</t>
  </si>
  <si>
    <t>AAS id=https://www.smart-factory.kr/ids/aas/IndustrialHandlingManipulator/1/0. administration.version=1, revision=0으로 suffix와 일치.</t>
  </si>
  <si>
    <t>AAS 1개, Submodel 8개. 필수 Nameplate, HandoverDocumentation, TechnicalData, OperationalData와 TimeSeries, AIModelNameplate, PredictiveMaintenance, PVM을 포함함.</t>
  </si>
  <si>
    <t>globalAssetId=https://www.smart-factory.kr/ids/asset/IndustrialHandlingManipulator/1/0. 장비 유형명이 포함된 IRI임.</t>
  </si>
  <si>
    <t>AssetInformation.assetKind=Type 확인. 형식 참조모델의 목적과 일치함.</t>
  </si>
  <si>
    <t>[사용자 요청 판정] 기준충족으로 변경함. 추가 검증을 수행한 결과는 아님. 이전 검토: [확인 보류] 적용본은 DN 3.0.1, HD 2.0.1, TD 2.0.1, TS 1.1.1, AI 1.0.1, PdM 1.0, PVM 1.0. 공식 저장소 목록에서 AI 외 6종 버전 일치 확인. AI 목록은 1.0으로 표시되며 1.0.1 원본 배포 파일의 외부 확인은 미완료. 구버전이라고 단정하지 않음. 출처: https://github.com/admin-shell-io/submodel-templates (2026-09-23).</t>
  </si>
  <si>
    <t>8개 Submodel id 모두 장비명과 Submodel명을 포함한 /1/0 IRI이며 administration=1/0과 일치함. 참조 SMT 배포 버전은 TemplateManifest와 VersionPolicy에서 별도 관리하므로 이전 버전 불일치는 해소됨.</t>
  </si>
  <si>
    <t>8개 Submodel 모두 semanticId 있음. 표준 7종은 패키지 원본 템플릿과 일치. OperationalData는 장비명을 포함한 자체 IRI임.</t>
  </si>
  <si>
    <t>8개 Submodel 모두 kind=Template임.</t>
  </si>
  <si>
    <t>TD의 표준 TechnicalPropertyAreas/[0] 이후 MechanicalSystem 또는 InstallationAndControlSystem → 세부 TechnicalPropertyArea → 속성의 2단계 분류가 있음. OD도 기능 분류 → 측정 묶음 → 속성으로 세분화함.</t>
  </si>
  <si>
    <t>SME 727개에서 Operation, BasicEventElement, Capability 없음. TrainingResults는 사용자 요청에 따라 빈 SMC로 유지함(빈 SMC 1개). 사용자 제공 변경본 재검증 보고서에서 70건 Passed 확인. 표준 Submodel 7종은 검사 제외됨.</t>
  </si>
  <si>
    <t>[표준 원본 예외 적용] 727개 SME 중 719개는 로컬 CD로 직접 해소됨. 나머지 8개 사용처(5개 semanticId)는 Nameplate/AddressInformation, AI/ContactInformation 및 PdM의 3개 개념으로, 동봉 원본에도 해당 CD가 없는 예외임. 사용자 추가 개념의 매핑 누락은 발견되지 않음.</t>
  </si>
  <si>
    <t>[표준 원본 예외 적용] Property의 valueType 설정 확인. PdM의 xs:double/STRING 불일치 24개 사용처(9개 개념)는 동봉 원본에서도 같은 설정임. dataType 생략 또한 원본 생략과 구조용 CD를 구분함. 표준 원본 오류를 임의 수정하지 않는 공통 지침 적용.</t>
  </si>
  <si>
    <t>CD 300개 모두 preferredName과 영문 definition 또는 영문 description을 확인함. ExampleResult 및 그 미사용 CD 1개를 삭제함.</t>
  </si>
  <si>
    <t>CD 300개 중 dataType 있음 171개, 없음 129개. 생략 129개는 표준 원본 87개와 자체 구조용 CD 42개로 구분됨. 사용자 추가 값 속성 CD의 dataType 누락은 발견되지 않음. 원본 생략 예외를 적용함.</t>
  </si>
  <si>
    <t>AI 보조 검토</t>
  </si>
  <si>
    <t>미기재</t>
  </si>
  <si>
    <t>2026-09-23</t>
  </si>
  <si>
    <t>사용자 요청 반영본(2026-09-23). 정량 판정값 19/19 True. AAS 1개, Submodel 8개, SME 727개, CD 300개. 근거:  AASX 및 개발계획서</t>
    <phoneticPr fontId="2" type="noConversion"/>
  </si>
  <si>
    <t xml:space="preserve">수정 AASX의 Validator 결과는 새 제출 보고서의 70건 Passed로 갱신함. </t>
    <phoneticPr fontId="2" type="noConversion"/>
  </si>
  <si>
    <t xml:space="preserve">매니퓰레이터_벨리데이터 결과.html에서 IndustrialHandlingManipulator_v0.0.1.aasx의 70개 검사 결과가 모두 Passed임을 확인함(AASX 1, IDTA 49, KOSMO 20). 표준 Submodel 7종은 보고서에 검사 제외로 명시됨. </t>
    <phoneticPr fontId="2" type="noConversion"/>
  </si>
  <si>
    <t xml:space="preserve">[사용자 요청 판정] 기준충족으로 변경함. 추가 검증을 수행한 결과는 아님. 이전 검토: [확인 보류] CD 300개 ID 중복 없음. 자체 IRI 148개, 표준 개념 152개. IRDI형 ID 65개는 모두 동봉 템플릿에서 유래함. </t>
    <phoneticPr fontId="2" type="noConversion"/>
  </si>
  <si>
    <t xml:space="preserve">Nameplate와 HandoverDocumentation을 제외한 Property 368개 모두 값이 있음. TD, OD, TS, AI, PdM, PVM의 예시를 확인함.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</si>
</sst>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7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topLeftCell="A4" zoomScale="140" zoomScaleNormal="140" workbookViewId="0">
      <selection activeCell="C10" sqref="C10"/>
    </sheetView>
  </sheetViews>
  <sheetFormatPr defaultColWidth="8.83203125" defaultRowHeight="17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3203125" customWidth="1"/>
    <col min="6" max="6" width="8.83203125" style="20" customWidth="1"/>
  </cols>
  <sheetData>
    <row r="1" spans="1:6" ht="21">
      <c r="A1" s="61" t="s">
        <v>39</v>
      </c>
      <c r="B1" s="62"/>
      <c r="C1" s="62"/>
      <c r="D1" s="63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68" t="s">
        <v>0</v>
      </c>
      <c r="B3" s="66" t="s">
        <v>84</v>
      </c>
      <c r="C3" s="67"/>
      <c r="D3" s="43" t="e" vm="1">
        <v>#VALUE!</v>
      </c>
    </row>
    <row r="4" spans="1:6" ht="51" customHeight="1">
      <c r="A4" s="69"/>
      <c r="B4" s="4" t="s">
        <v>14</v>
      </c>
      <c r="C4" s="6" t="s">
        <v>40</v>
      </c>
      <c r="D4" s="9"/>
    </row>
    <row r="5" spans="1:6" ht="78" customHeight="1">
      <c r="A5" s="69"/>
      <c r="B5" s="10" t="s">
        <v>28</v>
      </c>
      <c r="C5" s="6" t="s">
        <v>75</v>
      </c>
      <c r="D5" s="9"/>
    </row>
    <row r="6" spans="1:6" ht="336">
      <c r="A6" s="69"/>
      <c r="B6" s="4" t="s">
        <v>29</v>
      </c>
      <c r="C6" s="6" t="s">
        <v>101</v>
      </c>
      <c r="D6" s="4"/>
      <c r="F6" s="21"/>
    </row>
    <row r="7" spans="1:6" ht="182.5" customHeight="1">
      <c r="A7" s="70"/>
      <c r="B7" s="9" t="s">
        <v>88</v>
      </c>
      <c r="C7" s="42" t="s">
        <v>102</v>
      </c>
      <c r="D7" s="11" t="e" vm="2">
        <v>#VALUE!</v>
      </c>
      <c r="F7" s="21"/>
    </row>
    <row r="8" spans="1:6" ht="112">
      <c r="A8" s="64" t="s">
        <v>59</v>
      </c>
      <c r="B8" s="4" t="s">
        <v>11</v>
      </c>
      <c r="C8" s="7" t="s">
        <v>103</v>
      </c>
      <c r="D8" s="4"/>
    </row>
    <row r="9" spans="1:6" ht="61.5" customHeight="1">
      <c r="A9" s="65"/>
      <c r="B9" s="4" t="s">
        <v>13</v>
      </c>
      <c r="C9" s="6" t="s">
        <v>74</v>
      </c>
      <c r="D9" s="4"/>
    </row>
    <row r="10" spans="1:6" ht="112">
      <c r="A10" s="65"/>
      <c r="B10" s="4" t="s">
        <v>16</v>
      </c>
      <c r="C10" s="44" t="s">
        <v>89</v>
      </c>
      <c r="D10" s="4"/>
    </row>
    <row r="11" spans="1:6" ht="288">
      <c r="A11" s="65"/>
      <c r="B11" s="4" t="s">
        <v>69</v>
      </c>
      <c r="C11" s="38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D1" zoomScale="115" zoomScaleNormal="115" workbookViewId="0">
      <selection activeCell="G17" sqref="G17"/>
    </sheetView>
  </sheetViews>
  <sheetFormatPr defaultColWidth="8.83203125" defaultRowHeight="17"/>
  <cols>
    <col min="1" max="1" width="17.5" style="13" bestFit="1" customWidth="1"/>
    <col min="2" max="2" width="4.5" style="13" bestFit="1" customWidth="1"/>
    <col min="3" max="3" width="6.33203125" style="13" bestFit="1" customWidth="1"/>
    <col min="4" max="4" width="26.5" style="13" bestFit="1" customWidth="1"/>
    <col min="5" max="5" width="71.33203125" style="13" customWidth="1"/>
    <col min="6" max="6" width="10" style="13" customWidth="1"/>
    <col min="7" max="7" width="75.5" style="32" customWidth="1"/>
    <col min="8" max="8" width="24" customWidth="1"/>
    <col min="9" max="9" width="107.33203125" style="22" customWidth="1"/>
    <col min="10" max="10" width="13" style="24" customWidth="1"/>
    <col min="11" max="11" width="39.5" customWidth="1"/>
  </cols>
  <sheetData>
    <row r="1" spans="1:11" ht="20" customHeight="1">
      <c r="A1" s="61" t="s">
        <v>83</v>
      </c>
      <c r="B1" s="62"/>
      <c r="C1" s="62"/>
      <c r="D1" s="62"/>
      <c r="E1" s="62"/>
      <c r="F1" s="62"/>
      <c r="G1" s="63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68" customHeight="1">
      <c r="A3" s="3" t="s">
        <v>8</v>
      </c>
      <c r="B3" s="4">
        <v>1</v>
      </c>
      <c r="C3" s="4" t="s">
        <v>9</v>
      </c>
      <c r="D3" s="4" t="s">
        <v>10</v>
      </c>
      <c r="E3" s="47" t="s">
        <v>91</v>
      </c>
      <c r="F3" s="17" t="b">
        <v>1</v>
      </c>
      <c r="G3" s="38" t="s">
        <v>104</v>
      </c>
      <c r="K3" s="25"/>
    </row>
    <row r="4" spans="1:11" ht="69" customHeight="1">
      <c r="A4" s="68" t="s">
        <v>76</v>
      </c>
      <c r="B4" s="9">
        <v>2</v>
      </c>
      <c r="C4" s="9" t="s">
        <v>9</v>
      </c>
      <c r="D4" s="9" t="s">
        <v>11</v>
      </c>
      <c r="E4" s="45" t="s">
        <v>12</v>
      </c>
      <c r="F4" s="17" t="b">
        <v>1</v>
      </c>
      <c r="G4" s="38" t="s">
        <v>105</v>
      </c>
      <c r="K4" s="25"/>
    </row>
    <row r="5" spans="1:11" ht="68" customHeight="1">
      <c r="A5" s="70"/>
      <c r="B5" s="9">
        <v>3</v>
      </c>
      <c r="C5" s="9" t="s">
        <v>9</v>
      </c>
      <c r="D5" s="9" t="s">
        <v>55</v>
      </c>
      <c r="E5" s="45" t="s">
        <v>95</v>
      </c>
      <c r="F5" s="17" t="b">
        <v>1</v>
      </c>
      <c r="G5" s="38" t="s">
        <v>106</v>
      </c>
      <c r="K5" s="25"/>
    </row>
    <row r="6" spans="1:11" ht="69" customHeight="1">
      <c r="A6" s="68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 t="s">
        <v>107</v>
      </c>
      <c r="K6" s="25"/>
    </row>
    <row r="7" spans="1:11" ht="69" customHeight="1">
      <c r="A7" s="69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7" t="s">
        <v>108</v>
      </c>
      <c r="K7" s="25"/>
    </row>
    <row r="8" spans="1:11" ht="69" customHeight="1">
      <c r="A8" s="69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7" t="s">
        <v>109</v>
      </c>
      <c r="K8" s="25"/>
    </row>
    <row r="9" spans="1:11" ht="68" customHeight="1">
      <c r="A9" s="70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7" t="s">
        <v>110</v>
      </c>
      <c r="K9" s="25"/>
    </row>
    <row r="10" spans="1:11" ht="120" customHeight="1">
      <c r="A10" s="68" t="s">
        <v>21</v>
      </c>
      <c r="B10" s="9">
        <v>8</v>
      </c>
      <c r="C10" s="9" t="s">
        <v>9</v>
      </c>
      <c r="D10" s="9" t="s">
        <v>77</v>
      </c>
      <c r="E10" s="46" t="s">
        <v>78</v>
      </c>
      <c r="F10" s="18" t="b">
        <v>1</v>
      </c>
      <c r="G10" s="7" t="s">
        <v>111</v>
      </c>
      <c r="K10" s="25"/>
    </row>
    <row r="11" spans="1:11" ht="69" customHeight="1">
      <c r="A11" s="69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7" t="s">
        <v>112</v>
      </c>
      <c r="K11" s="27"/>
    </row>
    <row r="12" spans="1:11" ht="68" customHeight="1">
      <c r="A12" s="69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7" t="s">
        <v>113</v>
      </c>
      <c r="I12" s="23"/>
      <c r="J12" s="28"/>
      <c r="K12" s="25"/>
    </row>
    <row r="13" spans="1:11" ht="68" customHeight="1">
      <c r="A13" s="69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6" t="s">
        <v>114</v>
      </c>
      <c r="K13" s="25"/>
    </row>
    <row r="14" spans="1:11" ht="86" customHeight="1">
      <c r="A14" s="70"/>
      <c r="B14" s="9">
        <v>12</v>
      </c>
      <c r="C14" s="9" t="s">
        <v>15</v>
      </c>
      <c r="D14" s="9" t="s">
        <v>79</v>
      </c>
      <c r="E14" s="46" t="s">
        <v>97</v>
      </c>
      <c r="F14" s="18" t="b">
        <v>1</v>
      </c>
      <c r="G14" s="6" t="s">
        <v>115</v>
      </c>
      <c r="K14" s="25"/>
    </row>
    <row r="15" spans="1:11" ht="69" customHeight="1">
      <c r="A15" s="77" t="s">
        <v>85</v>
      </c>
      <c r="B15" s="9">
        <v>13</v>
      </c>
      <c r="C15" s="9" t="s">
        <v>15</v>
      </c>
      <c r="D15" s="43" t="s">
        <v>82</v>
      </c>
      <c r="E15" s="45" t="s">
        <v>98</v>
      </c>
      <c r="F15" s="18" t="b">
        <v>1</v>
      </c>
      <c r="G15" s="6" t="s">
        <v>116</v>
      </c>
      <c r="K15" s="25"/>
    </row>
    <row r="16" spans="1:11" ht="86" customHeight="1">
      <c r="A16" s="78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6" t="s">
        <v>117</v>
      </c>
      <c r="K16" s="25"/>
    </row>
    <row r="17" spans="1:11" ht="69" customHeight="1">
      <c r="A17" s="77" t="s">
        <v>86</v>
      </c>
      <c r="B17" s="9">
        <v>15</v>
      </c>
      <c r="C17" s="9" t="s">
        <v>9</v>
      </c>
      <c r="D17" s="9" t="s">
        <v>24</v>
      </c>
      <c r="E17" s="45" t="s">
        <v>99</v>
      </c>
      <c r="F17" s="17" t="b">
        <v>1</v>
      </c>
      <c r="G17" s="36" t="s">
        <v>128</v>
      </c>
      <c r="K17" s="25"/>
    </row>
    <row r="18" spans="1:11" ht="86" customHeight="1">
      <c r="A18" s="78"/>
      <c r="B18" s="5">
        <v>16</v>
      </c>
      <c r="C18" s="4" t="s">
        <v>9</v>
      </c>
      <c r="D18" s="10" t="s">
        <v>81</v>
      </c>
      <c r="E18" s="6" t="s">
        <v>72</v>
      </c>
      <c r="F18" s="39" t="b">
        <v>1</v>
      </c>
      <c r="G18" s="41" t="s">
        <v>118</v>
      </c>
      <c r="K18" s="25"/>
    </row>
    <row r="19" spans="1:11" ht="103" customHeight="1">
      <c r="A19" s="68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 t="s">
        <v>127</v>
      </c>
      <c r="K19" s="25"/>
    </row>
    <row r="20" spans="1:11" ht="68" customHeight="1">
      <c r="A20" s="69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6" t="s">
        <v>119</v>
      </c>
      <c r="I20" s="23"/>
      <c r="K20" s="25"/>
    </row>
    <row r="21" spans="1:11" ht="69" customHeight="1">
      <c r="A21" s="70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6" t="s">
        <v>120</v>
      </c>
      <c r="I21" s="23"/>
      <c r="K21" s="25"/>
    </row>
    <row r="22" spans="1:11" ht="52" customHeight="1">
      <c r="A22" s="3" t="s">
        <v>2</v>
      </c>
      <c r="B22" s="74" t="s">
        <v>71</v>
      </c>
      <c r="C22" s="75"/>
      <c r="D22" s="75"/>
      <c r="E22" s="75"/>
      <c r="F22" s="75"/>
      <c r="G22" s="76"/>
      <c r="I22" s="23"/>
      <c r="K22" s="25"/>
    </row>
    <row r="23" spans="1:11">
      <c r="A23" s="3" t="s">
        <v>36</v>
      </c>
      <c r="B23" s="37">
        <v>19</v>
      </c>
      <c r="C23" s="71"/>
      <c r="D23" s="72"/>
      <c r="E23" s="72"/>
      <c r="F23" s="72"/>
      <c r="G23" s="73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3203125" defaultRowHeight="17"/>
  <cols>
    <col min="1" max="4" width="9" style="12"/>
    <col min="5" max="6" width="15" style="12" customWidth="1"/>
    <col min="7" max="7" width="17" style="12" customWidth="1"/>
    <col min="8" max="8" width="21.33203125" style="12" customWidth="1"/>
    <col min="9" max="9" width="28.5" bestFit="1" customWidth="1"/>
  </cols>
  <sheetData>
    <row r="1" spans="1:10" ht="21">
      <c r="A1" s="80" t="s">
        <v>38</v>
      </c>
      <c r="B1" s="81"/>
      <c r="C1" s="81"/>
      <c r="D1" s="81"/>
      <c r="E1" s="81"/>
      <c r="F1" s="81"/>
      <c r="G1" s="81"/>
      <c r="H1" s="81"/>
      <c r="I1" s="81"/>
      <c r="J1" s="19"/>
    </row>
    <row r="2" spans="1:10">
      <c r="A2" s="82" t="s">
        <v>30</v>
      </c>
      <c r="B2" s="82"/>
      <c r="C2" s="82"/>
      <c r="D2" s="82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65" t="s">
        <v>35</v>
      </c>
      <c r="B3" s="65"/>
      <c r="C3" s="65"/>
      <c r="D3" s="65"/>
      <c r="E3" s="85" t="s">
        <v>42</v>
      </c>
      <c r="F3" s="86"/>
      <c r="G3" s="11">
        <f>SUMPRODUCT(--('AAS Model Checklist'!F3:F21=TRUE))</f>
        <v>19</v>
      </c>
      <c r="H3" s="11">
        <f>ROUND(G3/G5, 3) * 100</f>
        <v>100</v>
      </c>
      <c r="I3" s="34" t="s">
        <v>63</v>
      </c>
    </row>
    <row r="4" spans="1:10">
      <c r="A4" s="65"/>
      <c r="B4" s="65"/>
      <c r="C4" s="65"/>
      <c r="D4" s="65"/>
      <c r="E4" s="85" t="s">
        <v>41</v>
      </c>
      <c r="F4" s="86"/>
      <c r="G4" s="40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65"/>
      <c r="B5" s="65"/>
      <c r="C5" s="65"/>
      <c r="D5" s="65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84" t="s">
        <v>37</v>
      </c>
      <c r="B6" s="84"/>
      <c r="C6" s="84"/>
      <c r="D6" s="84"/>
      <c r="E6" s="83" t="s">
        <v>9</v>
      </c>
      <c r="F6" s="11" t="s">
        <v>43</v>
      </c>
      <c r="G6" s="11">
        <f>SUMPRODUCT(--('AAS Model Checklist'!C3:C21="필수"),--('AAS Model Checklist'!F3:F21=TRUE))</f>
        <v>16</v>
      </c>
      <c r="H6" s="11">
        <f>ROUND(G6/G10, 3) * 100</f>
        <v>84.2</v>
      </c>
      <c r="I6" s="34" t="s">
        <v>64</v>
      </c>
    </row>
    <row r="7" spans="1:10">
      <c r="A7" s="84"/>
      <c r="B7" s="84"/>
      <c r="C7" s="84"/>
      <c r="D7" s="84"/>
      <c r="E7" s="83"/>
      <c r="F7" s="11" t="s">
        <v>44</v>
      </c>
      <c r="G7" s="11">
        <f>SUMPRODUCT(--('AAS Model Checklist'!C3:C21="필수"),--('AAS Model Checklist'!F3:F21=FALSE))</f>
        <v>0</v>
      </c>
      <c r="H7" s="11">
        <f>ROUND(G7/G10, 3) * 100</f>
        <v>0</v>
      </c>
      <c r="I7" s="34" t="s">
        <v>65</v>
      </c>
    </row>
    <row r="8" spans="1:10">
      <c r="A8" s="84"/>
      <c r="B8" s="84"/>
      <c r="C8" s="84"/>
      <c r="D8" s="84"/>
      <c r="E8" s="83" t="s">
        <v>15</v>
      </c>
      <c r="F8" s="11" t="s">
        <v>45</v>
      </c>
      <c r="G8" s="11">
        <f>SUMPRODUCT(--('AAS Model Checklist'!C3:C21="옵션"),--('AAS Model Checklist'!F3:F21=TRUE))</f>
        <v>3</v>
      </c>
      <c r="H8" s="11">
        <f>ROUND(G8/G10, 3) * 100</f>
        <v>15.8</v>
      </c>
      <c r="I8" s="34" t="s">
        <v>66</v>
      </c>
    </row>
    <row r="9" spans="1:10">
      <c r="A9" s="84"/>
      <c r="B9" s="84"/>
      <c r="C9" s="84"/>
      <c r="D9" s="84"/>
      <c r="E9" s="83"/>
      <c r="F9" s="11" t="s">
        <v>46</v>
      </c>
      <c r="G9" s="11">
        <f>SUMPRODUCT(--('AAS Model Checklist'!C3:C21="옵션"),--('AAS Model Checklist'!F3:F21=FALSE))</f>
        <v>0</v>
      </c>
      <c r="H9" s="11">
        <f>ROUND(G9/G10, 3) * 100</f>
        <v>0</v>
      </c>
      <c r="I9" s="34" t="s">
        <v>67</v>
      </c>
    </row>
    <row r="10" spans="1:10">
      <c r="A10" s="84"/>
      <c r="B10" s="84"/>
      <c r="C10" s="84"/>
      <c r="D10" s="84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79" t="s">
        <v>61</v>
      </c>
      <c r="B12" s="79"/>
      <c r="C12" s="79"/>
      <c r="D12" s="79"/>
      <c r="E12" s="79"/>
      <c r="F12" s="79"/>
      <c r="G12" s="79"/>
      <c r="H12" s="79"/>
      <c r="I12" s="79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zoomScale="85" zoomScaleNormal="85" workbookViewId="0">
      <selection activeCell="B5" sqref="B5:F5"/>
    </sheetView>
  </sheetViews>
  <sheetFormatPr defaultColWidth="8.83203125" defaultRowHeight="17"/>
  <cols>
    <col min="1" max="1" width="17.5" customWidth="1"/>
    <col min="2" max="2" width="14.33203125" customWidth="1"/>
    <col min="3" max="3" width="13" customWidth="1"/>
    <col min="4" max="4" width="25.5" customWidth="1"/>
    <col min="5" max="5" width="11.5" customWidth="1"/>
    <col min="6" max="6" width="24.33203125" customWidth="1"/>
  </cols>
  <sheetData>
    <row r="1" spans="1:6" ht="32.25" customHeight="1">
      <c r="A1" s="54" t="s">
        <v>48</v>
      </c>
      <c r="B1" s="55"/>
      <c r="C1" s="55"/>
      <c r="D1" s="55"/>
      <c r="E1" s="55"/>
      <c r="F1" s="55"/>
    </row>
    <row r="2" spans="1:6">
      <c r="A2" s="56" t="s">
        <v>50</v>
      </c>
      <c r="B2" s="50" t="s">
        <v>121</v>
      </c>
      <c r="C2" s="56" t="s">
        <v>49</v>
      </c>
      <c r="D2" s="57" t="s">
        <v>122</v>
      </c>
      <c r="E2" s="59" t="s">
        <v>51</v>
      </c>
      <c r="F2" s="57" t="s">
        <v>123</v>
      </c>
    </row>
    <row r="3" spans="1:6">
      <c r="A3" s="56"/>
      <c r="B3" s="50"/>
      <c r="C3" s="56"/>
      <c r="D3" s="58"/>
      <c r="E3" s="60"/>
      <c r="F3" s="58"/>
    </row>
    <row r="4" spans="1:6" ht="180" customHeight="1">
      <c r="A4" s="30" t="s">
        <v>52</v>
      </c>
      <c r="B4" s="51" t="s">
        <v>124</v>
      </c>
      <c r="C4" s="50"/>
      <c r="D4" s="50"/>
      <c r="E4" s="50"/>
      <c r="F4" s="50"/>
    </row>
    <row r="5" spans="1:6" ht="180" customHeight="1">
      <c r="A5" s="30" t="s">
        <v>53</v>
      </c>
      <c r="B5" s="49" t="s">
        <v>126</v>
      </c>
      <c r="C5" s="50"/>
      <c r="D5" s="50"/>
      <c r="E5" s="50"/>
      <c r="F5" s="50"/>
    </row>
    <row r="6" spans="1:6" ht="180" customHeight="1">
      <c r="A6" s="30" t="s">
        <v>2</v>
      </c>
      <c r="B6" s="52" t="s">
        <v>125</v>
      </c>
      <c r="C6" s="53"/>
      <c r="D6" s="53"/>
      <c r="E6" s="53"/>
      <c r="F6" s="53"/>
    </row>
    <row r="16" spans="1:6">
      <c r="A16" s="48"/>
      <c r="B16" s="48"/>
      <c r="C16" s="48"/>
      <c r="D16" s="48"/>
      <c r="E16" s="48"/>
      <c r="F16" s="48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소윤 이</cp:lastModifiedBy>
  <cp:lastPrinted>2025-02-14T07:07:43Z</cp:lastPrinted>
  <dcterms:created xsi:type="dcterms:W3CDTF">2025-02-14T06:46:23Z</dcterms:created>
  <dcterms:modified xsi:type="dcterms:W3CDTF">2026-09-28T02:28:30Z</dcterms:modified>
</cp:coreProperties>
</file>